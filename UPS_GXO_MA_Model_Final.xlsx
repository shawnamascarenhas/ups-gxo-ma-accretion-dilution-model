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3b19f260f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 &amp; Summary" sheetId="1" r:id="R937e217ef28e47a4"/>
    <x:sheet xmlns:r="http://schemas.openxmlformats.org/officeDocument/2006/relationships" name="Transaction Assumptions" sheetId="2" r:id="Rdac26ba3aa0741f7"/>
    <x:sheet xmlns:r="http://schemas.openxmlformats.org/officeDocument/2006/relationships" name="Buyer Financials" sheetId="3" r:id="Rd845dd6e6b5c477e"/>
    <x:sheet xmlns:r="http://schemas.openxmlformats.org/officeDocument/2006/relationships" name="Target Financials" sheetId="4" r:id="R7c30735f34214572"/>
    <x:sheet xmlns:r="http://schemas.openxmlformats.org/officeDocument/2006/relationships" name="Standalone Forecasts" sheetId="5" r:id="R4e82afc2bae247f8"/>
    <x:sheet xmlns:r="http://schemas.openxmlformats.org/officeDocument/2006/relationships" name="Transaction Valuation" sheetId="6" r:id="R9a778c8f59c945cd"/>
    <x:sheet xmlns:r="http://schemas.openxmlformats.org/officeDocument/2006/relationships" name="Sources &amp; Uses" sheetId="7" r:id="Rfc94cc628ec94208"/>
    <x:sheet xmlns:r="http://schemas.openxmlformats.org/officeDocument/2006/relationships" name="Financing" sheetId="8" r:id="R6bd88bd3fb824df2"/>
    <x:sheet xmlns:r="http://schemas.openxmlformats.org/officeDocument/2006/relationships" name="Purchase Accounting" sheetId="9" r:id="R9e15acc14ed84f27"/>
    <x:sheet xmlns:r="http://schemas.openxmlformats.org/officeDocument/2006/relationships" name="Pro Forma Income Statement" sheetId="10" r:id="R9a471577c8724805"/>
    <x:sheet xmlns:r="http://schemas.openxmlformats.org/officeDocument/2006/relationships" name="Accretion-Dilution" sheetId="11" r:id="R86ef102a90644059"/>
    <x:sheet xmlns:r="http://schemas.openxmlformats.org/officeDocument/2006/relationships" name="Sensitivities" sheetId="12" r:id="R3cb98d71ec8643ac"/>
    <x:sheet xmlns:r="http://schemas.openxmlformats.org/officeDocument/2006/relationships" name="Checks" sheetId="13" r:id="R5975210aed30461b"/>
    <x:sheet xmlns:r="http://schemas.openxmlformats.org/officeDocument/2006/relationships" name="Sources" sheetId="14" r:id="Rb331e9d59692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dd mmm yyyy"/>
    <x:numFmt numFmtId="201" formatCode="#,##0;(#,##0);-"/>
    <x:numFmt numFmtId="202" formatCode="$0.00;($0.00);-"/>
    <x:numFmt numFmtId="203" formatCode="0.0%;(0.0%);-"/>
    <x:numFmt numFmtId="204" formatCode="0.0x"/>
    <x:numFmt numFmtId="205" formatCode="#,##0.0;(#,##0.0);-"/>
    <x:numFmt numFmtId="206" formatCode="0.0"/>
    <x:numFmt numFmtId="207" formatCode="0.000x"/>
    <x:numFmt numFmtId="208" formatCode="#,##0.0"/>
    <x:numFmt numFmtId="209" formatCode="dd mmm yy"/>
    <x:numFmt numFmtId="210" formatCode="0.000"/>
    <x:numFmt numFmtId="211" formatCode="0.000;[Red](0.000);-"/>
  </x:numFmts>
  <x:fonts count="29">
    <x:font>
      <x:sz val="11"/>
      <x:name val="Carlito"/>
    </x:font>
    <x:font>
      <x:b/>
      <x:sz val="16"/>
      <x:color rgb="FF17365D"/>
      <x:name val="Arial"/>
    </x:font>
    <x:font>
      <x:i/>
      <x:sz val="9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9"/>
      <x:color rgb="FFFFFFFF"/>
      <x:name val="Arial"/>
    </x:font>
    <x:font>
      <x:sz val="10"/>
      <x:color rgb="FF1F4E78"/>
      <x:name val="Arial"/>
    </x:font>
    <x:font>
      <x:sz val="10"/>
      <x:color rgb="FF0000FF"/>
      <x:name val="Arial"/>
    </x:font>
    <x:font>
      <x:sz val="10"/>
      <x:color rgb="FFC00000"/>
      <x:name val="Arial"/>
    </x:font>
    <x:font>
      <x:sz val="9"/>
      <x:color rgb="FF1F4E78"/>
      <x:name val="Arial"/>
    </x:font>
    <x:font>
      <x:b/>
      <x:sz val="10"/>
      <x:color rgb="FF222222"/>
      <x:name val="Arial"/>
    </x:font>
    <x:font>
      <x:sz val="9"/>
      <x:color rgb="FF222222"/>
      <x:name val="Arial"/>
    </x:font>
    <x:font>
      <x:b/>
      <x:sz val="10"/>
      <x:color rgb="FF17365D"/>
      <x:name val="Arial"/>
    </x:font>
    <x:font>
      <x:b/>
      <x:sz val="10"/>
      <x:color rgb="FF0000FF"/>
      <x:name val="Arial"/>
    </x:font>
    <x:font>
      <x:sz val="9"/>
      <x:color rgb="FF666666"/>
      <x:name val="Arial"/>
    </x:font>
    <x:font>
      <x:b/>
      <x:sz val="9"/>
      <x:color rgb="FF17365D"/>
      <x:name val="Arial"/>
    </x:font>
    <x:font>
      <x:sz val="9"/>
      <x:color rgb="FF0000FF"/>
      <x:name val="Arial"/>
    </x:font>
    <x:font>
      <x:sz val="9"/>
      <x:color rgb="FF008000"/>
      <x:name val="Arial"/>
    </x:font>
    <x:font>
      <x:sz val="9"/>
      <x:color rgb="FFC00000"/>
      <x:name val="Arial"/>
    </x:font>
    <x:font>
      <x:b/>
      <x:sz val="9"/>
      <x:color rgb="FF008000"/>
      <x:name val="Arial"/>
    </x:font>
    <x:font>
      <x:b/>
      <x:i/>
      <x:sz val="9"/>
      <x:color rgb="FFFFFFFF"/>
      <x:name val="Arial"/>
    </x:font>
    <x:font>
      <x:i/>
      <x:sz val="9"/>
      <x:color rgb="FF222222"/>
      <x:name val="Arial"/>
    </x:font>
    <x:font>
      <x:b/>
      <x:sz val="8"/>
      <x:color rgb="FF17365D"/>
      <x:name val="Arial"/>
    </x:font>
    <x:font>
      <x:i/>
      <x:sz val="8"/>
      <x:color rgb="FF666666"/>
      <x:name val="Arial"/>
    </x:font>
    <x:font>
      <x:sz val="8"/>
      <x:color rgb="FF666666"/>
      <x:name val="Arial"/>
    </x:font>
    <x:font>
      <x:sz val="6"/>
      <x:color rgb="FFFFFFFF"/>
      <x:name val="Arial"/>
    </x:font>
    <x:font>
      <x:sz val="8"/>
      <x:color rgb="FF222222"/>
      <x:name val="Arial"/>
    </x:font>
    <x:font>
      <x:sz val="8"/>
      <x:color rgb="FF1F4E78"/>
      <x:name val="Arial"/>
    </x:font>
  </x:fonts>
  <x:fills count="8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43">
    <x:border/>
    <x:border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7C9DC"/>
      </x:left>
      <x:right style="thin">
        <x:color rgb="FFB7C9DC"/>
      </x:right>
      <x:top style="thin">
        <x:color rgb="FFB7C9DC"/>
      </x:top>
    </x:border>
    <x:border>
      <x:left style="thin">
        <x:color rgb="FFB7C9DC"/>
      </x:left>
      <x:right style="thin">
        <x:color rgb="FFB7C9DC"/>
      </x:right>
      <x:bottom style="thin">
        <x:color rgb="FFB7C9DC"/>
      </x:bottom>
    </x:border>
    <x:border>
      <x:left style="thin">
        <x:color rgb="FFB7C9DC"/>
      </x:left>
      <x:right style="thin">
        <x:color rgb="FFB7C9DC"/>
      </x:right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</x:border>
    <x:border>
      <x:left style="thin">
        <x:color rgb="FFE6E6E6"/>
      </x:left>
      <x:top style="thin">
        <x:color rgb="FFE6E6E6"/>
      </x:top>
    </x:border>
    <x:border>
      <x:left style="thin">
        <x:color rgb="FFB7C9DC"/>
      </x:left>
      <x:right style="thin">
        <x:color rgb="FFE6E6E6"/>
      </x:right>
      <x:top style="thin">
        <x:color rgb="FFB7C9DC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B7C9DC"/>
      </x:top>
      <x:bottom style="thin">
        <x:color rgb="FFE6E6E6"/>
      </x:bottom>
    </x:border>
    <x:border>
      <x:left style="thin">
        <x:color rgb="FFE6E6E6"/>
      </x:left>
      <x:right style="thin">
        <x:color rgb="FFB7C9DC"/>
      </x:right>
      <x:top style="thin">
        <x:color rgb="FFB7C9DC"/>
      </x:top>
      <x:bottom style="thin">
        <x:color rgb="FFE6E6E6"/>
      </x:bottom>
    </x:border>
    <x:border>
      <x:left style="thin">
        <x:color rgb="FFB7C9DC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B7C9DC"/>
      </x:right>
      <x:top style="thin">
        <x:color rgb="FFE6E6E6"/>
      </x:top>
      <x:bottom style="thin">
        <x:color rgb="FFE6E6E6"/>
      </x:bottom>
    </x:border>
    <x:border>
      <x:left style="thin">
        <x:color rgb="FFB7C9DC"/>
      </x:left>
      <x:right style="thin">
        <x:color rgb="FFE6E6E6"/>
      </x:right>
      <x:top style="thin">
        <x:color rgb="FFE6E6E6"/>
      </x:top>
      <x:bottom style="thin">
        <x:color rgb="FFB7C9DC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B7C9DC"/>
      </x:bottom>
    </x:border>
    <x:border>
      <x:left style="thin">
        <x:color rgb="FFE6E6E6"/>
      </x:left>
      <x:right style="thin">
        <x:color rgb="FFB7C9DC"/>
      </x:right>
      <x:top style="thin">
        <x:color rgb="FFE6E6E6"/>
      </x:top>
      <x:bottom style="thin">
        <x:color rgb="FFB7C9DC"/>
      </x:bottom>
    </x:border>
    <x:border>
      <x:top style="thin">
        <x:color rgb="FF17365D"/>
      </x:top>
      <x:bottom style="double">
        <x:color rgb="FF17365D"/>
      </x:bottom>
    </x:border>
    <x:border>
      <x:left style="thin">
        <x:color rgb="FFB7C9DC"/>
      </x:left>
      <x:top style="thin">
        <x:color rgb="FFB7C9DC"/>
      </x:top>
    </x:border>
    <x:border>
      <x:top style="thin">
        <x:color rgb="FFB7C9DC"/>
      </x:top>
    </x:border>
    <x:border>
      <x:right style="thin">
        <x:color rgb="FFB7C9DC"/>
      </x:right>
      <x:top style="thin">
        <x:color rgb="FFB7C9DC"/>
      </x:top>
    </x:border>
    <x:border>
      <x:left style="thin">
        <x:color rgb="FFB7C9DC"/>
      </x:left>
      <x:bottom style="thin">
        <x:color rgb="FFB7C9DC"/>
      </x:bottom>
    </x:border>
    <x:border>
      <x:bottom style="thin">
        <x:color rgb="FFB7C9DC"/>
      </x:bottom>
    </x:border>
    <x:border>
      <x:right style="thin">
        <x:color rgb="FFB7C9DC"/>
      </x:right>
      <x:bottom style="thin">
        <x:color rgb="FFB7C9DC"/>
      </x:bottom>
    </x:border>
    <x:border>
      <x:left style="thin">
        <x:color rgb="FFB7C9DC"/>
      </x:left>
      <x:top style="thin">
        <x:color rgb="FFB7C9DC"/>
      </x:top>
      <x:bottom style="thin">
        <x:color rgb="FFB7C9DC"/>
      </x:bottom>
    </x:border>
    <x:border>
      <x:top style="thin">
        <x:color rgb="FFB7C9DC"/>
      </x:top>
      <x:bottom style="thin">
        <x:color rgb="FFB7C9DC"/>
      </x:bottom>
    </x:border>
    <x:border>
      <x:right style="thin">
        <x:color rgb="FFB7C9DC"/>
      </x:right>
      <x:top style="thin">
        <x:color rgb="FFB7C9DC"/>
      </x:top>
      <x:bottom style="thin">
        <x:color rgb="FFB7C9DC"/>
      </x:bottom>
    </x:border>
    <x:border>
      <x:left style="thin">
        <x:color rgb="FFB7C9DC"/>
      </x:left>
    </x:border>
    <x:border>
      <x:right style="thin">
        <x:color rgb="FFB7C9DC"/>
      </x:right>
    </x:border>
    <x:border>
      <x:top style="thin">
        <x:color rgb="FF17365D"/>
      </x:top>
    </x:border>
    <x:border>
      <x:left style="thin">
        <x:color rgb="FFB7C9DC"/>
      </x:left>
      <x:top style="thin">
        <x:color rgb="FF17365D"/>
      </x:top>
    </x:border>
    <x:border>
      <x:right style="thin">
        <x:color rgb="FFB7C9DC"/>
      </x:right>
      <x:top style="thin">
        <x:color rgb="FF17365D"/>
      </x:top>
    </x:border>
    <x:border>
      <x:left style="thin">
        <x:color rgb="FFB7C9DC"/>
      </x:left>
      <x:right style="thin">
        <x:color rgb="FFB7C9DC"/>
      </x:right>
      <x:top style="thin">
        <x:color rgb="FFB7C9DC"/>
      </x:top>
      <x:bottom style="thin">
        <x:color rgb="FFB7C9DC"/>
      </x:bottom>
    </x:border>
    <x:border>
      <x:left style="thick">
        <x:color rgb="FF17365D"/>
      </x:left>
      <x:right style="thick">
        <x:color rgb="FF17365D"/>
      </x:right>
      <x:top style="thick">
        <x:color rgb="FF17365D"/>
      </x:top>
      <x:bottom style="thick">
        <x:color rgb="FF17365D"/>
      </x:bottom>
    </x:border>
  </x:borders>
  <x:cellStyleXfs count="1">
    <x:xf numFmtId="0" fontId="0" fillId="0" borderId="0"/>
  </x:cellStyleXfs>
  <x:cellXfs count="65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5" fillId="0" borderId="0" xfId="0" applyNumberFormat="1" applyFont="1" applyFill="1" applyBorder="1"/>
    <x:xf numFmtId="0" fontId="3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5" xfId="0" applyNumberFormat="1" applyFont="1" applyFill="1" applyBorder="1"/>
    <x:xf numFmtId="0" fontId="6" fillId="3" borderId="5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8" xfId="0" applyNumberFormat="1" applyFont="1" applyFill="1" applyBorder="1"/>
    <x:xf numFmtId="202" fontId="8" fillId="4" borderId="6" xfId="0" applyNumberFormat="1" applyFont="1" applyFill="1" applyBorder="1"/>
    <x:xf numFmtId="202" fontId="8" fillId="4" borderId="7" xfId="0" applyNumberFormat="1" applyFont="1" applyFill="1" applyBorder="1"/>
    <x:xf numFmtId="202" fontId="3" fillId="0" borderId="0" xfId="0" applyNumberFormat="1" applyFont="1" applyFill="1" applyBorder="1"/>
    <x:xf numFmtId="201" fontId="8" fillId="4" borderId="6" xfId="0" applyNumberFormat="1" applyFont="1" applyFill="1" applyBorder="1"/>
    <x:xf numFmtId="201" fontId="8" fillId="4" borderId="8" xfId="0" applyNumberFormat="1" applyFont="1" applyFill="1" applyBorder="1"/>
    <x:xf numFmtId="203" fontId="8" fillId="4" borderId="7" xfId="0" applyNumberFormat="1" applyFont="1" applyFill="1" applyBorder="1"/>
    <x:xf numFmtId="203" fontId="8" fillId="4" borderId="8" xfId="0" applyNumberFormat="1" applyFont="1" applyFill="1" applyBorder="1"/>
    <x:xf numFmtId="200" fontId="8" fillId="4" borderId="7" xfId="0" applyNumberFormat="1" applyFont="1" applyFill="1" applyBorder="1"/>
    <x:xf numFmtId="0" fontId="8" fillId="0" borderId="0" xfId="0" applyNumberFormat="1" applyFont="1" applyFill="1" applyBorder="1"/>
    <x:xf numFmtId="0" fontId="5" fillId="0" borderId="0" xfId="0" applyNumberFormat="1" applyFont="1" applyFill="1" applyBorder="1"/>
    <x:xf numFmtId="0" fontId="9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4" borderId="10" xfId="0" applyNumberFormat="1" applyFont="1" applyFill="1" applyBorder="1"/>
    <x:xf numFmtId="0" fontId="3" fillId="4" borderId="13" xfId="0" applyNumberFormat="1" applyFont="1" applyFill="1" applyBorder="1"/>
    <x:xf numFmtId="0" fontId="3" fillId="4" borderId="16" xfId="0" applyNumberFormat="1" applyFont="1" applyFill="1" applyBorder="1"/>
    <x:xf numFmtId="0" fontId="8" fillId="4" borderId="10" xfId="0" applyNumberFormat="1" applyFont="1" applyFill="1" applyBorder="1"/>
    <x:xf numFmtId="0" fontId="8" fillId="4" borderId="13" xfId="0" applyNumberFormat="1" applyFont="1" applyFill="1" applyBorder="1"/>
    <x:xf numFmtId="0" fontId="8" fillId="4" borderId="16" xfId="0" applyNumberFormat="1" applyFont="1" applyFill="1" applyBorder="1"/>
    <x:xf numFmtId="0" fontId="8" fillId="4" borderId="18" xfId="0" applyNumberFormat="1" applyFont="1" applyFill="1" applyBorder="1"/>
    <x:xf numFmtId="0" fontId="8" fillId="4" borderId="19" xfId="0" applyNumberFormat="1" applyFont="1" applyFill="1" applyBorder="1"/>
    <x:xf numFmtId="0" fontId="8" fillId="4" borderId="20" xfId="0" applyNumberFormat="1" applyFont="1" applyFill="1" applyBorder="1"/>
    <x:xf numFmtId="0" fontId="8" fillId="4" borderId="21" xfId="0" applyNumberFormat="1" applyFont="1" applyFill="1" applyBorder="1"/>
    <x:xf numFmtId="0" fontId="8" fillId="4" borderId="22" xfId="0" applyNumberFormat="1" applyFont="1" applyFill="1" applyBorder="1"/>
    <x:xf numFmtId="0" fontId="8" fillId="4" borderId="23" xfId="0" applyNumberFormat="1" applyFont="1" applyFill="1" applyBorder="1"/>
    <x:xf numFmtId="0" fontId="8" fillId="4" borderId="24" xfId="0" applyNumberFormat="1" applyFont="1" applyFill="1" applyBorder="1"/>
    <x:xf numFmtId="0" fontId="8" fillId="4" borderId="25" xfId="0" applyNumberFormat="1" applyFont="1" applyFill="1" applyBorder="1"/>
    <x:xf numFmtId="201" fontId="8" fillId="4" borderId="18" xfId="0" applyNumberFormat="1" applyFont="1" applyFill="1" applyBorder="1"/>
    <x:xf numFmtId="201" fontId="8" fillId="4" borderId="19" xfId="0" applyNumberFormat="1" applyFont="1" applyFill="1" applyBorder="1"/>
    <x:xf numFmtId="201" fontId="8" fillId="4" borderId="20" xfId="0" applyNumberFormat="1" applyFont="1" applyFill="1" applyBorder="1"/>
    <x:xf numFmtId="201" fontId="8" fillId="4" borderId="21" xfId="0" applyNumberFormat="1" applyFont="1" applyFill="1" applyBorder="1"/>
    <x:xf numFmtId="201" fontId="8" fillId="4" borderId="13" xfId="0" applyNumberFormat="1" applyFont="1" applyFill="1" applyBorder="1"/>
    <x:xf numFmtId="201" fontId="8" fillId="4" borderId="22" xfId="0" applyNumberFormat="1" applyFont="1" applyFill="1" applyBorder="1"/>
    <x:xf numFmtId="202" fontId="8" fillId="4" borderId="21" xfId="0" applyNumberFormat="1" applyFont="1" applyFill="1" applyBorder="1"/>
    <x:xf numFmtId="202" fontId="8" fillId="4" borderId="13" xfId="0" applyNumberFormat="1" applyFont="1" applyFill="1" applyBorder="1"/>
    <x:xf numFmtId="202" fontId="8" fillId="4" borderId="22" xfId="0" applyNumberFormat="1" applyFont="1" applyFill="1" applyBorder="1"/>
    <x:xf numFmtId="201" fontId="8" fillId="4" borderId="23" xfId="0" applyNumberFormat="1" applyFont="1" applyFill="1" applyBorder="1"/>
    <x:xf numFmtId="201" fontId="8" fillId="4" borderId="24" xfId="0" applyNumberFormat="1" applyFont="1" applyFill="1" applyBorder="1"/>
    <x:xf numFmtId="201" fontId="8" fillId="4" borderId="25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3" fillId="0" borderId="26" xfId="0" applyNumberFormat="1" applyFont="1" applyFill="1" applyBorder="1"/>
    <x:xf numFmtId="201" fontId="3" fillId="0" borderId="26" xfId="0" applyNumberFormat="1" applyFont="1" applyFill="1" applyBorder="1"/>
    <x:xf numFmtId="201" fontId="4" fillId="2" borderId="3" xfId="0" applyNumberFormat="1" applyFont="1" applyFill="1" applyBorder="1"/>
    <x:xf numFmtId="203" fontId="3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7" xfId="0" applyNumberFormat="1" applyFont="1" applyFill="1" applyBorder="1"/>
    <x:xf numFmtId="0" fontId="8" fillId="7" borderId="28" xfId="0" applyNumberFormat="1" applyFont="1" applyFill="1" applyBorder="1"/>
    <x:xf numFmtId="0" fontId="8" fillId="7" borderId="29" xfId="0" applyNumberFormat="1" applyFont="1" applyFill="1" applyBorder="1"/>
    <x:xf numFmtId="0" fontId="8" fillId="7" borderId="30" xfId="0" applyNumberFormat="1" applyFont="1" applyFill="1" applyBorder="1"/>
    <x:xf numFmtId="0" fontId="8" fillId="7" borderId="31" xfId="0" applyNumberFormat="1" applyFont="1" applyFill="1" applyBorder="1"/>
    <x:xf numFmtId="0" fontId="8" fillId="7" borderId="32" xfId="0" applyNumberFormat="1" applyFont="1" applyFill="1" applyBorder="1"/>
    <x:xf numFmtId="0" fontId="8" fillId="7" borderId="33" xfId="0" applyNumberFormat="1" applyFont="1" applyFill="1" applyBorder="1"/>
    <x:xf numFmtId="0" fontId="8" fillId="7" borderId="34" xfId="0" applyNumberFormat="1" applyFont="1" applyFill="1" applyBorder="1"/>
    <x:xf numFmtId="0" fontId="8" fillId="7" borderId="35" xfId="0" applyNumberFormat="1" applyFont="1" applyFill="1" applyBorder="1"/>
    <x:xf numFmtId="0" fontId="8" fillId="7" borderId="36" xfId="0" applyNumberFormat="1" applyFont="1" applyFill="1" applyBorder="1"/>
    <x:xf numFmtId="0" fontId="8" fillId="7" xfId="0" applyNumberFormat="1" applyFont="1" applyFill="1" applyBorder="0"/>
    <x:xf numFmtId="0" fontId="8" fillId="7" borderId="37" xfId="0" applyNumberFormat="1" applyFont="1" applyFill="1" applyBorder="1"/>
    <x:xf numFmtId="0" fontId="0" fillId="0" borderId="38" xfId="0" applyNumberFormat="1" applyFont="1" applyFill="1" applyBorder="1"/>
    <x:xf numFmtId="0" fontId="3" fillId="0" borderId="38" xfId="0" applyNumberFormat="1" applyFont="1" applyFill="1" applyBorder="1"/>
    <x:xf numFmtId="0" fontId="11" fillId="0" borderId="38" xfId="0" applyNumberFormat="1" applyFont="1" applyFill="1" applyBorder="1"/>
    <x:xf numFmtId="0" fontId="8" fillId="7" borderId="39" xfId="0" applyNumberFormat="1" applyFont="1" applyFill="1" applyBorder="1"/>
    <x:xf numFmtId="0" fontId="8" fillId="7" borderId="38" xfId="0" applyNumberFormat="1" applyFont="1" applyFill="1" applyBorder="1"/>
    <x:xf numFmtId="0" fontId="8" fillId="7" borderId="40" xfId="0" applyNumberFormat="1" applyFont="1" applyFill="1" applyBorder="1"/>
    <x:xf numFmtId="0" fontId="11" fillId="7" borderId="39" xfId="0" applyNumberFormat="1" applyFont="1" applyFill="1" applyBorder="1"/>
    <x:xf numFmtId="0" fontId="11" fillId="7" borderId="38" xfId="0" applyNumberFormat="1" applyFont="1" applyFill="1" applyBorder="1"/>
    <x:xf numFmtId="0" fontId="11" fillId="7" borderId="40" xfId="0" applyNumberFormat="1" applyFont="1" applyFill="1" applyBorder="1"/>
    <x:xf numFmtId="201" fontId="8" fillId="7" borderId="27" xfId="0" applyNumberFormat="1" applyFont="1" applyFill="1" applyBorder="1"/>
    <x:xf numFmtId="201" fontId="8" fillId="7" borderId="28" xfId="0" applyNumberFormat="1" applyFont="1" applyFill="1" applyBorder="1"/>
    <x:xf numFmtId="201" fontId="8" fillId="7" borderId="29" xfId="0" applyNumberFormat="1" applyFont="1" applyFill="1" applyBorder="1"/>
    <x:xf numFmtId="201" fontId="8" fillId="7" borderId="30" xfId="0" applyNumberFormat="1" applyFont="1" applyFill="1" applyBorder="1"/>
    <x:xf numFmtId="201" fontId="8" fillId="7" borderId="31" xfId="0" applyNumberFormat="1" applyFont="1" applyFill="1" applyBorder="1"/>
    <x:xf numFmtId="201" fontId="8" fillId="7" borderId="32" xfId="0" applyNumberFormat="1" applyFont="1" applyFill="1" applyBorder="1"/>
    <x:xf numFmtId="201" fontId="11" fillId="0" borderId="38" xfId="0" applyNumberFormat="1" applyFont="1" applyFill="1" applyBorder="1"/>
    <x:xf numFmtId="201" fontId="8" fillId="7" borderId="33" xfId="0" applyNumberFormat="1" applyFont="1" applyFill="1" applyBorder="1"/>
    <x:xf numFmtId="201" fontId="8" fillId="7" borderId="34" xfId="0" applyNumberFormat="1" applyFont="1" applyFill="1" applyBorder="1"/>
    <x:xf numFmtId="201" fontId="8" fillId="7" borderId="35" xfId="0" applyNumberFormat="1" applyFont="1" applyFill="1" applyBorder="1"/>
    <x:xf numFmtId="201" fontId="8" fillId="7" borderId="36" xfId="0" applyNumberFormat="1" applyFont="1" applyFill="1" applyBorder="1"/>
    <x:xf numFmtId="201" fontId="8" fillId="7" xfId="0" applyNumberFormat="1" applyFont="1" applyFill="1" applyBorder="0"/>
    <x:xf numFmtId="201" fontId="8" fillId="7" borderId="37" xfId="0" applyNumberFormat="1" applyFont="1" applyFill="1" applyBorder="1"/>
    <x:xf numFmtId="201" fontId="11" fillId="7" borderId="39" xfId="0" applyNumberFormat="1" applyFont="1" applyFill="1" applyBorder="1"/>
    <x:xf numFmtId="201" fontId="11" fillId="7" borderId="38" xfId="0" applyNumberFormat="1" applyFont="1" applyFill="1" applyBorder="1"/>
    <x:xf numFmtId="201" fontId="11" fillId="7" borderId="40" xfId="0" applyNumberFormat="1" applyFont="1" applyFill="1" applyBorder="1"/>
    <x:xf numFmtId="202" fontId="8" fillId="7" borderId="30" xfId="0" applyNumberFormat="1" applyFont="1" applyFill="1" applyBorder="1"/>
    <x:xf numFmtId="202" fontId="8" fillId="7" borderId="31" xfId="0" applyNumberFormat="1" applyFont="1" applyFill="1" applyBorder="1"/>
    <x:xf numFmtId="202" fontId="8" fillId="7" borderId="32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3" xfId="0" applyNumberFormat="1" applyFont="1" applyFill="1" applyBorder="1"/>
    <x:xf numFmtId="0" fontId="4" fillId="8" borderId="4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5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7" xfId="0" applyNumberFormat="1" applyFont="1" applyFill="1" applyBorder="1"/>
    <x:xf numFmtId="0" fontId="8" fillId="10" borderId="28" xfId="0" applyNumberFormat="1" applyFont="1" applyFill="1" applyBorder="1"/>
    <x:xf numFmtId="0" fontId="8" fillId="10" borderId="29" xfId="0" applyNumberFormat="1" applyFont="1" applyFill="1" applyBorder="1"/>
    <x:xf numFmtId="0" fontId="8" fillId="10" borderId="30" xfId="0" applyNumberFormat="1" applyFont="1" applyFill="1" applyBorder="1"/>
    <x:xf numFmtId="0" fontId="8" fillId="10" borderId="31" xfId="0" applyNumberFormat="1" applyFont="1" applyFill="1" applyBorder="1"/>
    <x:xf numFmtId="0" fontId="8" fillId="10" borderId="32" xfId="0" applyNumberFormat="1" applyFont="1" applyFill="1" applyBorder="1"/>
    <x:xf numFmtId="0" fontId="8" fillId="10" borderId="33" xfId="0" applyNumberFormat="1" applyFont="1" applyFill="1" applyBorder="1"/>
    <x:xf numFmtId="0" fontId="8" fillId="10" borderId="34" xfId="0" applyNumberFormat="1" applyFont="1" applyFill="1" applyBorder="1"/>
    <x:xf numFmtId="0" fontId="8" fillId="10" borderId="35" xfId="0" applyNumberFormat="1" applyFont="1" applyFill="1" applyBorder="1"/>
    <x:xf numFmtId="0" fontId="8" fillId="10" borderId="36" xfId="0" applyNumberFormat="1" applyFont="1" applyFill="1" applyBorder="1"/>
    <x:xf numFmtId="0" fontId="8" fillId="10" xfId="0" applyNumberFormat="1" applyFont="1" applyFill="1" applyBorder="0"/>
    <x:xf numFmtId="0" fontId="8" fillId="10" borderId="37" xfId="0" applyNumberFormat="1" applyFont="1" applyFill="1" applyBorder="1"/>
    <x:xf numFmtId="0" fontId="8" fillId="10" borderId="39" xfId="0" applyNumberFormat="1" applyFont="1" applyFill="1" applyBorder="1"/>
    <x:xf numFmtId="0" fontId="8" fillId="10" borderId="38" xfId="0" applyNumberFormat="1" applyFont="1" applyFill="1" applyBorder="1"/>
    <x:xf numFmtId="0" fontId="8" fillId="10" borderId="40" xfId="0" applyNumberFormat="1" applyFont="1" applyFill="1" applyBorder="1"/>
    <x:xf numFmtId="0" fontId="11" fillId="10" borderId="39" xfId="0" applyNumberFormat="1" applyFont="1" applyFill="1" applyBorder="1"/>
    <x:xf numFmtId="0" fontId="11" fillId="10" borderId="38" xfId="0" applyNumberFormat="1" applyFont="1" applyFill="1" applyBorder="1"/>
    <x:xf numFmtId="0" fontId="11" fillId="10" borderId="40" xfId="0" applyNumberFormat="1" applyFont="1" applyFill="1" applyBorder="1"/>
    <x:xf numFmtId="201" fontId="8" fillId="10" borderId="27" xfId="0" applyNumberFormat="1" applyFont="1" applyFill="1" applyBorder="1"/>
    <x:xf numFmtId="201" fontId="8" fillId="10" borderId="28" xfId="0" applyNumberFormat="1" applyFont="1" applyFill="1" applyBorder="1"/>
    <x:xf numFmtId="201" fontId="8" fillId="10" borderId="29" xfId="0" applyNumberFormat="1" applyFont="1" applyFill="1" applyBorder="1"/>
    <x:xf numFmtId="201" fontId="8" fillId="10" borderId="30" xfId="0" applyNumberFormat="1" applyFont="1" applyFill="1" applyBorder="1"/>
    <x:xf numFmtId="201" fontId="8" fillId="10" borderId="31" xfId="0" applyNumberFormat="1" applyFont="1" applyFill="1" applyBorder="1"/>
    <x:xf numFmtId="201" fontId="8" fillId="10" borderId="32" xfId="0" applyNumberFormat="1" applyFont="1" applyFill="1" applyBorder="1"/>
    <x:xf numFmtId="201" fontId="8" fillId="10" borderId="33" xfId="0" applyNumberFormat="1" applyFont="1" applyFill="1" applyBorder="1"/>
    <x:xf numFmtId="201" fontId="8" fillId="10" borderId="34" xfId="0" applyNumberFormat="1" applyFont="1" applyFill="1" applyBorder="1"/>
    <x:xf numFmtId="201" fontId="8" fillId="10" borderId="35" xfId="0" applyNumberFormat="1" applyFont="1" applyFill="1" applyBorder="1"/>
    <x:xf numFmtId="201" fontId="8" fillId="10" borderId="36" xfId="0" applyNumberFormat="1" applyFont="1" applyFill="1" applyBorder="1"/>
    <x:xf numFmtId="201" fontId="8" fillId="10" xfId="0" applyNumberFormat="1" applyFont="1" applyFill="1" applyBorder="0"/>
    <x:xf numFmtId="201" fontId="8" fillId="10" borderId="37" xfId="0" applyNumberFormat="1" applyFont="1" applyFill="1" applyBorder="1"/>
    <x:xf numFmtId="201" fontId="11" fillId="10" borderId="39" xfId="0" applyNumberFormat="1" applyFont="1" applyFill="1" applyBorder="1"/>
    <x:xf numFmtId="201" fontId="11" fillId="10" borderId="38" xfId="0" applyNumberFormat="1" applyFont="1" applyFill="1" applyBorder="1"/>
    <x:xf numFmtId="201" fontId="11" fillId="10" borderId="40" xfId="0" applyNumberFormat="1" applyFont="1" applyFill="1" applyBorder="1"/>
    <x:xf numFmtId="202" fontId="8" fillId="10" borderId="30" xfId="0" applyNumberFormat="1" applyFont="1" applyFill="1" applyBorder="1"/>
    <x:xf numFmtId="202" fontId="8" fillId="10" borderId="31" xfId="0" applyNumberFormat="1" applyFont="1" applyFill="1" applyBorder="1"/>
    <x:xf numFmtId="202" fontId="8" fillId="10" borderId="32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2" xfId="0" applyNumberFormat="1" applyFont="1" applyFill="1" applyBorder="1"/>
    <x:xf numFmtId="0" fontId="4" fillId="11" borderId="3" xfId="0" applyNumberFormat="1" applyFont="1" applyFill="1" applyBorder="1"/>
    <x:xf numFmtId="0" fontId="4" fillId="11" borderId="4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5" xfId="0" applyNumberFormat="1" applyFont="1" applyFill="1" applyBorder="1"/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27" xfId="0" applyNumberFormat="1" applyFont="1" applyFill="1" applyBorder="1"/>
    <x:xf numFmtId="0" fontId="8" fillId="13" borderId="28" xfId="0" applyNumberFormat="1" applyFont="1" applyFill="1" applyBorder="1"/>
    <x:xf numFmtId="0" fontId="8" fillId="13" borderId="29" xfId="0" applyNumberFormat="1" applyFont="1" applyFill="1" applyBorder="1"/>
    <x:xf numFmtId="0" fontId="8" fillId="13" borderId="30" xfId="0" applyNumberFormat="1" applyFont="1" applyFill="1" applyBorder="1"/>
    <x:xf numFmtId="0" fontId="8" fillId="13" borderId="31" xfId="0" applyNumberFormat="1" applyFont="1" applyFill="1" applyBorder="1"/>
    <x:xf numFmtId="0" fontId="8" fillId="13" borderId="32" xfId="0" applyNumberFormat="1" applyFont="1" applyFill="1" applyBorder="1"/>
    <x:xf numFmtId="0" fontId="8" fillId="13" borderId="33" xfId="0" applyNumberFormat="1" applyFont="1" applyFill="1" applyBorder="1"/>
    <x:xf numFmtId="0" fontId="8" fillId="13" borderId="34" xfId="0" applyNumberFormat="1" applyFont="1" applyFill="1" applyBorder="1"/>
    <x:xf numFmtId="0" fontId="8" fillId="13" borderId="35" xfId="0" applyNumberFormat="1" applyFont="1" applyFill="1" applyBorder="1"/>
    <x:xf numFmtId="0" fontId="8" fillId="13" borderId="36" xfId="0" applyNumberFormat="1" applyFont="1" applyFill="1" applyBorder="1"/>
    <x:xf numFmtId="0" fontId="8" fillId="13" xfId="0" applyNumberFormat="1" applyFont="1" applyFill="1" applyBorder="0"/>
    <x:xf numFmtId="0" fontId="8" fillId="13" borderId="37" xfId="0" applyNumberFormat="1" applyFont="1" applyFill="1" applyBorder="1"/>
    <x:xf numFmtId="0" fontId="8" fillId="13" borderId="39" xfId="0" applyNumberFormat="1" applyFont="1" applyFill="1" applyBorder="1"/>
    <x:xf numFmtId="0" fontId="8" fillId="13" borderId="38" xfId="0" applyNumberFormat="1" applyFont="1" applyFill="1" applyBorder="1"/>
    <x:xf numFmtId="0" fontId="8" fillId="13" borderId="40" xfId="0" applyNumberFormat="1" applyFont="1" applyFill="1" applyBorder="1"/>
    <x:xf numFmtId="0" fontId="11" fillId="13" borderId="39" xfId="0" applyNumberFormat="1" applyFont="1" applyFill="1" applyBorder="1"/>
    <x:xf numFmtId="0" fontId="11" fillId="13" borderId="38" xfId="0" applyNumberFormat="1" applyFont="1" applyFill="1" applyBorder="1"/>
    <x:xf numFmtId="0" fontId="11" fillId="13" borderId="40" xfId="0" applyNumberFormat="1" applyFont="1" applyFill="1" applyBorder="1"/>
    <x:xf numFmtId="201" fontId="8" fillId="13" borderId="27" xfId="0" applyNumberFormat="1" applyFont="1" applyFill="1" applyBorder="1"/>
    <x:xf numFmtId="201" fontId="8" fillId="13" borderId="28" xfId="0" applyNumberFormat="1" applyFont="1" applyFill="1" applyBorder="1"/>
    <x:xf numFmtId="201" fontId="8" fillId="13" borderId="29" xfId="0" applyNumberFormat="1" applyFont="1" applyFill="1" applyBorder="1"/>
    <x:xf numFmtId="201" fontId="8" fillId="13" borderId="30" xfId="0" applyNumberFormat="1" applyFont="1" applyFill="1" applyBorder="1"/>
    <x:xf numFmtId="201" fontId="8" fillId="13" borderId="31" xfId="0" applyNumberFormat="1" applyFont="1" applyFill="1" applyBorder="1"/>
    <x:xf numFmtId="201" fontId="8" fillId="13" borderId="32" xfId="0" applyNumberFormat="1" applyFont="1" applyFill="1" applyBorder="1"/>
    <x:xf numFmtId="201" fontId="8" fillId="13" borderId="33" xfId="0" applyNumberFormat="1" applyFont="1" applyFill="1" applyBorder="1"/>
    <x:xf numFmtId="201" fontId="8" fillId="13" borderId="34" xfId="0" applyNumberFormat="1" applyFont="1" applyFill="1" applyBorder="1"/>
    <x:xf numFmtId="201" fontId="8" fillId="13" borderId="35" xfId="0" applyNumberFormat="1" applyFont="1" applyFill="1" applyBorder="1"/>
    <x:xf numFmtId="201" fontId="8" fillId="13" borderId="36" xfId="0" applyNumberFormat="1" applyFont="1" applyFill="1" applyBorder="1"/>
    <x:xf numFmtId="201" fontId="8" fillId="13" xfId="0" applyNumberFormat="1" applyFont="1" applyFill="1" applyBorder="0"/>
    <x:xf numFmtId="201" fontId="8" fillId="13" borderId="37" xfId="0" applyNumberFormat="1" applyFont="1" applyFill="1" applyBorder="1"/>
    <x:xf numFmtId="201" fontId="11" fillId="13" borderId="39" xfId="0" applyNumberFormat="1" applyFont="1" applyFill="1" applyBorder="1"/>
    <x:xf numFmtId="201" fontId="11" fillId="13" borderId="38" xfId="0" applyNumberFormat="1" applyFont="1" applyFill="1" applyBorder="1"/>
    <x:xf numFmtId="201" fontId="11" fillId="13" borderId="40" xfId="0" applyNumberFormat="1" applyFont="1" applyFill="1" applyBorder="1"/>
    <x:xf numFmtId="202" fontId="8" fillId="13" borderId="30" xfId="0" applyNumberFormat="1" applyFont="1" applyFill="1" applyBorder="1"/>
    <x:xf numFmtId="202" fontId="8" fillId="13" borderId="31" xfId="0" applyNumberFormat="1" applyFont="1" applyFill="1" applyBorder="1"/>
    <x:xf numFmtId="202" fontId="8" fillId="13" borderId="32" xfId="0" applyNumberFormat="1" applyFont="1" applyFill="1" applyBorder="1"/>
    <x:xf numFmtId="0" fontId="13" fillId="0" borderId="0" xfId="0" applyNumberFormat="1" applyFont="1" applyFill="1" applyBorder="1"/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41" xfId="0" applyNumberFormat="1" applyFont="1" applyFill="1" applyBorder="1"/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2" xfId="0" applyNumberFormat="1" applyFont="1" applyFill="1" applyBorder="1"/>
    <x:xf numFmtId="0" fontId="4" fillId="15" borderId="3" xfId="0" applyNumberFormat="1" applyFont="1" applyFill="1" applyBorder="1"/>
    <x:xf numFmtId="0" fontId="4" fillId="15" borderId="4" xfId="0" applyNumberFormat="1" applyFont="1" applyFill="1" applyBorder="1"/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5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201" fontId="3" fillId="17" borderId="0" xfId="0" applyNumberFormat="1" applyFont="1" applyFill="1" applyBorder="1"/>
    <x:xf numFmtId="203" fontId="3" fillId="17" borderId="0" xfId="0" applyNumberFormat="1" applyFont="1" applyFill="1" applyBorder="1"/>
    <x:xf numFmtId="202" fontId="3" fillId="17" borderId="0" xfId="0" applyNumberFormat="1" applyFont="1" applyFill="1" applyBorder="1"/>
    <x:xf numFmtId="201" fontId="5" fillId="0" borderId="38" xfId="0" applyNumberFormat="1" applyFont="1" applyFill="1" applyBorder="1"/>
    <x:xf numFmtId="201" fontId="3" fillId="17" borderId="38" xfId="0" applyNumberFormat="1" applyFont="1" applyFill="1" applyBorder="1"/>
    <x:xf numFmtId="201" fontId="11" fillId="17" borderId="38" xfId="0" applyNumberFormat="1" applyFont="1" applyFill="1" applyBorder="1"/>
    <x:xf numFmtId="202" fontId="5" fillId="0" borderId="38" xfId="0" applyNumberFormat="1" applyFont="1" applyFill="1" applyBorder="1"/>
    <x:xf numFmtId="202" fontId="3" fillId="17" borderId="38" xfId="0" applyNumberFormat="1" applyFont="1" applyFill="1" applyBorder="1"/>
    <x:xf numFmtId="202" fontId="11" fillId="0" borderId="38" xfId="0" applyNumberFormat="1" applyFont="1" applyFill="1" applyBorder="1"/>
    <x:xf numFmtId="202" fontId="11" fillId="17" borderId="38" xfId="0" applyNumberFormat="1" applyFont="1" applyFill="1" applyBorder="1"/>
    <x:xf numFmtId="0" fontId="8" fillId="14" borderId="0" xfId="0" applyNumberFormat="1" applyFont="1" applyFill="1" applyBorder="1"/>
    <x:xf numFmtId="0" fontId="8" fillId="14" borderId="41" xfId="0" applyNumberFormat="1" applyFont="1" applyFill="1" applyBorder="1"/>
    <x:xf numFmtId="0" fontId="15" fillId="0" borderId="0" xfId="0" applyNumberFormat="1" applyFont="1" applyFill="1" applyBorder="1"/>
    <x:xf numFmtId="203" fontId="8" fillId="14" borderId="41" xfId="0" applyNumberFormat="1" applyFont="1" applyFill="1" applyBorder="1"/>
    <x:xf numFmtId="203" fontId="0" fillId="18" borderId="0" xfId="0" applyNumberFormat="1" applyFont="1" applyFill="1" applyBorder="1"/>
    <x:xf numFmtId="203" fontId="5" fillId="18" borderId="0" xfId="0" applyNumberFormat="1" applyFont="1" applyFill="1" applyBorder="1"/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41" xfId="0" applyNumberFormat="1" applyFont="1" applyFill="1" applyBorder="1"/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2" xfId="0" applyNumberFormat="1" applyFont="1" applyFill="1" applyBorder="1"/>
    <x:xf numFmtId="0" fontId="4" fillId="20" borderId="3" xfId="0" applyNumberFormat="1" applyFont="1" applyFill="1" applyBorder="1"/>
    <x:xf numFmtId="0" fontId="4" fillId="20" borderId="4" xfId="0" applyNumberFormat="1" applyFont="1" applyFill="1" applyBorder="1"/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6" fillId="21" borderId="5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201" fontId="3" fillId="22" borderId="0" xfId="0" applyNumberFormat="1" applyFont="1" applyFill="1" applyBorder="1"/>
    <x:xf numFmtId="203" fontId="3" fillId="22" borderId="0" xfId="0" applyNumberFormat="1" applyFont="1" applyFill="1" applyBorder="1"/>
    <x:xf numFmtId="202" fontId="3" fillId="22" borderId="0" xfId="0" applyNumberFormat="1" applyFont="1" applyFill="1" applyBorder="1"/>
    <x:xf numFmtId="201" fontId="3" fillId="22" borderId="38" xfId="0" applyNumberFormat="1" applyFont="1" applyFill="1" applyBorder="1"/>
    <x:xf numFmtId="201" fontId="11" fillId="22" borderId="38" xfId="0" applyNumberFormat="1" applyFont="1" applyFill="1" applyBorder="1"/>
    <x:xf numFmtId="202" fontId="3" fillId="22" borderId="38" xfId="0" applyNumberFormat="1" applyFont="1" applyFill="1" applyBorder="1"/>
    <x:xf numFmtId="202" fontId="11" fillId="22" borderId="38" xfId="0" applyNumberFormat="1" applyFont="1" applyFill="1" applyBorder="1"/>
    <x:xf numFmtId="0" fontId="8" fillId="19" borderId="0" xfId="0" applyNumberFormat="1" applyFont="1" applyFill="1" applyBorder="1"/>
    <x:xf numFmtId="0" fontId="8" fillId="19" borderId="41" xfId="0" applyNumberFormat="1" applyFont="1" applyFill="1" applyBorder="1"/>
    <x:xf numFmtId="203" fontId="8" fillId="19" borderId="41" xfId="0" applyNumberFormat="1" applyFont="1" applyFill="1" applyBorder="1"/>
    <x:xf numFmtId="203" fontId="0" fillId="23" borderId="0" xfId="0" applyNumberFormat="1" applyFont="1" applyFill="1" applyBorder="1"/>
    <x:xf numFmtId="203" fontId="5" fillId="23" borderId="0" xfId="0" applyNumberFormat="1" applyFont="1" applyFill="1" applyBorder="1"/>
    <x:xf numFmtId="0" fontId="0" fillId="24" borderId="0" xfId="0" applyNumberFormat="1" applyFont="1" applyFill="1" applyBorder="1"/>
    <x:xf numFmtId="0" fontId="4" fillId="24" borderId="0" xfId="0" applyNumberFormat="1" applyFont="1" applyFill="1" applyBorder="1"/>
    <x:xf numFmtId="0" fontId="4" fillId="24" borderId="2" xfId="0" applyNumberFormat="1" applyFont="1" applyFill="1" applyBorder="1"/>
    <x:xf numFmtId="0" fontId="4" fillId="24" borderId="3" xfId="0" applyNumberFormat="1" applyFont="1" applyFill="1" applyBorder="1"/>
    <x:xf numFmtId="0" fontId="4" fillId="24" borderId="4" xfId="0" applyNumberFormat="1" applyFont="1" applyFill="1" applyBorder="1"/>
    <x:xf numFmtId="0" fontId="0" fillId="0" borderId="26" xfId="0" applyNumberFormat="1" applyFont="1" applyFill="1" applyBorder="1"/>
    <x:xf numFmtId="0" fontId="11" fillId="0" borderId="26" xfId="0" applyNumberFormat="1" applyFont="1" applyFill="1" applyBorder="1"/>
    <x:xf numFmtId="201" fontId="11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6" fillId="25" borderId="5" xfId="0" applyNumberFormat="1" applyFont="1" applyFill="1" applyBorder="1"/>
    <x:xf numFmtId="201" fontId="5" fillId="0" borderId="26" xfId="0" applyNumberFormat="1" applyFont="1" applyFill="1" applyBorder="1"/>
    <x:xf numFmtId="204" fontId="0" fillId="0" borderId="0" xfId="0" applyNumberFormat="1" applyFont="1" applyFill="1" applyBorder="1"/>
    <x:xf numFmtId="204" fontId="0" fillId="26" borderId="0" xfId="0" applyNumberFormat="1" applyFont="1" applyFill="1" applyBorder="1"/>
    <x:xf numFmtId="204" fontId="0" fillId="27" borderId="0" xfId="0" applyNumberFormat="1" applyFont="1" applyFill="1" applyBorder="1"/>
    <x:xf numFmtId="202" fontId="0" fillId="0" borderId="0" xfId="0" applyNumberFormat="1" applyFont="1" applyFill="1" applyBorder="1"/>
    <x:xf numFmtId="0" fontId="16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borderId="2" xfId="0" applyNumberFormat="1" applyFont="1" applyFill="1" applyBorder="1"/>
    <x:xf numFmtId="0" fontId="4" fillId="28" borderId="3" xfId="0" applyNumberFormat="1" applyFont="1" applyFill="1" applyBorder="1"/>
    <x:xf numFmtId="0" fontId="4" fillId="28" borderId="4" xfId="0" applyNumberFormat="1" applyFont="1" applyFill="1" applyBorder="1"/>
    <x:xf numFmtId="0" fontId="0" fillId="29" borderId="0" xfId="0" applyNumberFormat="1" applyFont="1" applyFill="1" applyBorder="1"/>
    <x:xf numFmtId="0" fontId="6" fillId="29" borderId="0" xfId="0" applyNumberFormat="1" applyFont="1" applyFill="1" applyBorder="1"/>
    <x:xf numFmtId="0" fontId="6" fillId="29" borderId="5" xfId="0" applyNumberFormat="1" applyFont="1" applyFill="1" applyBorder="1"/>
    <x:xf numFmtId="204" fontId="0" fillId="30" borderId="0" xfId="0" applyNumberFormat="1" applyFont="1" applyFill="1" applyBorder="1"/>
    <x:xf numFmtId="204" fontId="0" fillId="31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0" borderId="41" xfId="0" applyNumberFormat="1" applyFont="1" applyFill="1" applyBorder="1"/>
    <x:xf numFmtId="0" fontId="8" fillId="32" borderId="41" xfId="0" applyNumberFormat="1" applyFont="1" applyFill="1" applyBorder="1"/>
    <x:xf numFmtId="203" fontId="8" fillId="32" borderId="41" xfId="0" applyNumberFormat="1" applyFont="1" applyFill="1" applyBorder="1"/>
    <x:xf numFmtId="202" fontId="8" fillId="32" borderId="41" xfId="0" applyNumberFormat="1" applyFont="1" applyFill="1" applyBorder="1"/>
    <x:xf numFmtId="0" fontId="17" fillId="32" borderId="0" xfId="0" applyNumberFormat="1" applyFont="1" applyFill="1" applyBorder="1"/>
    <x:xf numFmtId="0" fontId="18" fillId="0" borderId="0" xfId="0" applyNumberFormat="1" applyFont="1" applyFill="1" applyBorder="1"/>
    <x:xf numFmtId="0" fontId="19" fillId="0" borderId="0" xfId="0" applyNumberFormat="1" applyFont="1" applyFill="1" applyBorder="1"/>
    <x:xf numFmtId="0" fontId="0" fillId="33" borderId="0" xfId="0" applyNumberFormat="1" applyFont="1" applyFill="1" applyBorder="1"/>
    <x:xf numFmtId="0" fontId="4" fillId="33" borderId="0" xfId="0" applyNumberFormat="1" applyFont="1" applyFill="1" applyBorder="1"/>
    <x:xf numFmtId="0" fontId="4" fillId="33" borderId="2" xfId="0" applyNumberFormat="1" applyFont="1" applyFill="1" applyBorder="1"/>
    <x:xf numFmtId="0" fontId="4" fillId="33" borderId="3" xfId="0" applyNumberFormat="1" applyFont="1" applyFill="1" applyBorder="1"/>
    <x:xf numFmtId="0" fontId="4" fillId="33" borderId="4" xfId="0" applyNumberFormat="1" applyFont="1" applyFill="1" applyBorder="1"/>
    <x:xf numFmtId="0" fontId="0" fillId="34" borderId="0" xfId="0" applyNumberFormat="1" applyFont="1" applyFill="1" applyBorder="1"/>
    <x:xf numFmtId="0" fontId="6" fillId="34" borderId="0" xfId="0" applyNumberFormat="1" applyFont="1" applyFill="1" applyBorder="1"/>
    <x:xf numFmtId="0" fontId="6" fillId="34" borderId="5" xfId="0" applyNumberFormat="1" applyFont="1" applyFill="1" applyBorder="1"/>
    <x:xf numFmtId="205" fontId="0" fillId="0" borderId="0" xfId="0" applyNumberFormat="1" applyFont="1" applyFill="1" applyBorder="1"/>
    <x:xf numFmtId="205" fontId="5" fillId="0" borderId="0" xfId="0" applyNumberFormat="1" applyFont="1" applyFill="1" applyBorder="1"/>
    <x:xf numFmtId="205" fontId="0" fillId="0" borderId="26" xfId="0" applyNumberFormat="1" applyFont="1" applyFill="1" applyBorder="1"/>
    <x:xf numFmtId="203" fontId="0" fillId="0" borderId="26" xfId="0" applyNumberFormat="1" applyFont="1" applyFill="1" applyBorder="1"/>
    <x:xf numFmtId="205" fontId="11" fillId="0" borderId="26" xfId="0" applyNumberFormat="1" applyFont="1" applyFill="1" applyBorder="1"/>
    <x:xf numFmtId="203" fontId="11" fillId="0" borderId="26" xfId="0" applyNumberFormat="1" applyFont="1" applyFill="1" applyBorder="1"/>
    <x:xf numFmtId="0" fontId="0" fillId="35" borderId="0" xfId="0" applyNumberFormat="1" applyFont="1" applyFill="1" applyBorder="1"/>
    <x:xf numFmtId="205" fontId="0" fillId="35" borderId="0" xfId="0" applyNumberFormat="1" applyFont="1" applyFill="1" applyBorder="1"/>
    <x:xf numFmtId="203" fontId="0" fillId="35" borderId="0" xfId="0" applyNumberFormat="1" applyFont="1" applyFill="1" applyBorder="1"/>
    <x:xf numFmtId="206" fontId="0" fillId="0" borderId="0" xfId="0" applyNumberFormat="1" applyFont="1" applyFill="1" applyBorder="1"/>
    <x:xf numFmtId="205" fontId="3" fillId="0" borderId="0" xfId="0" applyNumberFormat="1" applyFont="1" applyFill="1" applyBorder="1"/>
    <x:xf numFmtId="206" fontId="3" fillId="0" borderId="0" xfId="0" applyNumberFormat="1" applyFont="1" applyFill="1" applyBorder="1"/>
    <x:xf numFmtId="0" fontId="6" fillId="3" borderId="5" xfId="0" applyNumberFormat="1" applyFont="1" applyFill="1" applyBorder="1" applyAlignment="1">
      <x:alignment horizontal="right"/>
    </x:xf>
    <x:xf numFmtId="205" fontId="5" fillId="0" borderId="0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 applyAlignment="1">
      <x:alignment horizontal="right"/>
    </x:xf>
    <x:xf numFmtId="205" fontId="11" fillId="0" borderId="26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4" fillId="2" borderId="3" xfId="0" applyNumberFormat="1" applyFont="1" applyFill="1" applyBorder="1" applyAlignment="1">
      <x:alignment horizontal="right"/>
    </x:xf>
    <x:xf numFmtId="205" fontId="0" fillId="35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 applyAlignment="1">
      <x:alignment horizontal="right"/>
    </x:xf>
    <x:xf numFmtId="206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6" fillId="3" borderId="5" xfId="0" applyNumberFormat="1" applyFont="1" applyFill="1" applyBorder="1" applyAlignment="1">
      <x:alignment horizontal="left"/>
    </x:xf>
    <x:xf numFmtId="203" fontId="0" fillId="0" borderId="0" xfId="0" applyNumberFormat="1" applyFont="1" applyFill="1" applyBorder="1" applyAlignment="1">
      <x:alignment horizontal="left"/>
    </x:xf>
    <x:xf numFmtId="203" fontId="11" fillId="0" borderId="26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4" fillId="2" borderId="3" xfId="0" applyNumberFormat="1" applyFont="1" applyFill="1" applyBorder="1" applyAlignment="1">
      <x:alignment horizontal="left"/>
    </x:xf>
    <x:xf numFmtId="203" fontId="0" fillId="35" borderId="0" xfId="0" applyNumberFormat="1" applyFont="1" applyFill="1" applyBorder="1" applyAlignment="1">
      <x:alignment horizontal="left"/>
    </x:xf>
    <x:xf numFmtId="0" fontId="11" fillId="0" borderId="26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/>
    </x:xf>
    <x:xf numFmtId="0" fontId="4" fillId="2" borderId="4" xfId="0" applyNumberFormat="1" applyFont="1" applyFill="1" applyBorder="1" applyAlignment="1">
      <x:alignment horizontal="left"/>
    </x:xf>
    <x:xf numFmtId="0" fontId="0" fillId="35" borderId="0" xfId="0" applyNumberFormat="1" applyFont="1" applyFill="1" applyBorder="1" applyAlignment="1">
      <x:alignment horizontal="left"/>
    </x:xf>
    <x:xf numFmtId="0" fontId="0" fillId="36" borderId="0" xfId="0" applyNumberFormat="1" applyFont="1" applyFill="1" applyBorder="1"/>
    <x:xf numFmtId="0" fontId="4" fillId="36" borderId="0" xfId="0" applyNumberFormat="1" applyFont="1" applyFill="1" applyBorder="1"/>
    <x:xf numFmtId="0" fontId="0" fillId="37" borderId="0" xfId="0" applyNumberFormat="1" applyFont="1" applyFill="1" applyBorder="1"/>
    <x:xf numFmtId="0" fontId="6" fillId="37" borderId="0" xfId="0" applyNumberFormat="1" applyFont="1" applyFill="1" applyBorder="1"/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8" fillId="38" borderId="0" xfId="0" applyNumberFormat="1" applyFont="1" applyFill="1" applyBorder="1"/>
    <x:xf numFmtId="0" fontId="6" fillId="37" borderId="41" xfId="0" applyNumberFormat="1" applyFont="1" applyFill="1" applyBorder="1"/>
    <x:xf numFmtId="0" fontId="8" fillId="38" borderId="41" xfId="0" applyNumberFormat="1" applyFont="1" applyFill="1" applyBorder="1"/>
    <x:xf numFmtId="0" fontId="3" fillId="0" borderId="41" xfId="0" applyNumberFormat="1" applyFont="1" applyFill="1" applyBorder="1"/>
    <x:xf numFmtId="203" fontId="8" fillId="38" borderId="41" xfId="0" applyNumberFormat="1" applyFont="1" applyFill="1" applyBorder="1"/>
    <x:xf numFmtId="206" fontId="8" fillId="38" borderId="41" xfId="0" applyNumberFormat="1" applyFont="1" applyFill="1" applyBorder="1"/>
    <x:xf numFmtId="0" fontId="4" fillId="36" borderId="2" xfId="0" applyNumberFormat="1" applyFont="1" applyFill="1" applyBorder="1"/>
    <x:xf numFmtId="0" fontId="4" fillId="36" borderId="3" xfId="0" applyNumberFormat="1" applyFont="1" applyFill="1" applyBorder="1"/>
    <x:xf numFmtId="0" fontId="4" fillId="36" borderId="4" xfId="0" applyNumberFormat="1" applyFont="1" applyFill="1" applyBorder="1"/>
    <x:xf numFmtId="0" fontId="6" fillId="37" borderId="5" xfId="0" applyNumberFormat="1" applyFont="1" applyFill="1" applyBorder="1"/>
    <x:xf numFmtId="205" fontId="0" fillId="39" borderId="0" xfId="0" applyNumberFormat="1" applyFont="1" applyFill="1" applyBorder="1"/>
    <x:xf numFmtId="205" fontId="11" fillId="39" borderId="26" xfId="0" applyNumberFormat="1" applyFont="1" applyFill="1" applyBorder="1"/>
    <x:xf numFmtId="204" fontId="0" fillId="39" borderId="0" xfId="0" applyNumberFormat="1" applyFont="1" applyFill="1" applyBorder="1"/>
    <x:xf numFmtId="205" fontId="5" fillId="0" borderId="26" xfId="0" applyNumberFormat="1" applyFont="1" applyFill="1" applyBorder="1"/>
    <x:xf numFmtId="0" fontId="0" fillId="40" borderId="0" xfId="0" applyNumberFormat="1" applyFont="1" applyFill="1" applyBorder="1"/>
    <x:xf numFmtId="0" fontId="4" fillId="40" borderId="0" xfId="0" applyNumberFormat="1" applyFont="1" applyFill="1" applyBorder="1"/>
    <x:xf numFmtId="0" fontId="0" fillId="41" borderId="0" xfId="0" applyNumberFormat="1" applyFont="1" applyFill="1" applyBorder="1"/>
    <x:xf numFmtId="0" fontId="6" fillId="41" borderId="0" xfId="0" applyNumberFormat="1" applyFont="1" applyFill="1" applyBorder="1"/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6" fillId="41" borderId="41" xfId="0" applyNumberFormat="1" applyFont="1" applyFill="1" applyBorder="1"/>
    <x:xf numFmtId="0" fontId="8" fillId="42" borderId="41" xfId="0" applyNumberFormat="1" applyFont="1" applyFill="1" applyBorder="1"/>
    <x:xf numFmtId="203" fontId="8" fillId="42" borderId="41" xfId="0" applyNumberFormat="1" applyFont="1" applyFill="1" applyBorder="1"/>
    <x:xf numFmtId="206" fontId="8" fillId="42" borderId="41" xfId="0" applyNumberFormat="1" applyFont="1" applyFill="1" applyBorder="1"/>
    <x:xf numFmtId="0" fontId="4" fillId="40" borderId="2" xfId="0" applyNumberFormat="1" applyFont="1" applyFill="1" applyBorder="1"/>
    <x:xf numFmtId="0" fontId="4" fillId="40" borderId="3" xfId="0" applyNumberFormat="1" applyFont="1" applyFill="1" applyBorder="1"/>
    <x:xf numFmtId="0" fontId="4" fillId="40" borderId="4" xfId="0" applyNumberFormat="1" applyFont="1" applyFill="1" applyBorder="1"/>
    <x:xf numFmtId="0" fontId="6" fillId="41" borderId="5" xfId="0" applyNumberFormat="1" applyFont="1" applyFill="1" applyBorder="1"/>
    <x:xf numFmtId="0" fontId="0" fillId="43" borderId="0" xfId="0" applyNumberFormat="1" applyFont="1" applyFill="1" applyBorder="1"/>
    <x:xf numFmtId="205" fontId="0" fillId="43" borderId="0" xfId="0" applyNumberFormat="1" applyFont="1" applyFill="1" applyBorder="1"/>
    <x:xf numFmtId="203" fontId="0" fillId="43" borderId="0" xfId="0" applyNumberFormat="1" applyFont="1" applyFill="1" applyBorder="1"/>
    <x:xf numFmtId="206" fontId="5" fillId="0" borderId="0" xfId="0" applyNumberFormat="1" applyFont="1" applyFill="1" applyBorder="1"/>
    <x:xf numFmtId="0" fontId="0" fillId="44" borderId="0" xfId="0" applyNumberFormat="1" applyFont="1" applyFill="1" applyBorder="1"/>
    <x:xf numFmtId="0" fontId="4" fillId="44" borderId="0" xfId="0" applyNumberFormat="1" applyFont="1" applyFill="1" applyBorder="1"/>
    <x:xf numFmtId="0" fontId="0" fillId="45" borderId="0" xfId="0" applyNumberFormat="1" applyFont="1" applyFill="1" applyBorder="1"/>
    <x:xf numFmtId="0" fontId="6" fillId="45" borderId="0" xfId="0" applyNumberFormat="1" applyFont="1" applyFill="1" applyBorder="1"/>
    <x:xf numFmtId="0" fontId="0" fillId="46" borderId="0" xfId="0" applyNumberFormat="1" applyFont="1" applyFill="1" applyBorder="1"/>
    <x:xf numFmtId="0" fontId="8" fillId="46" borderId="0" xfId="0" applyNumberFormat="1" applyFont="1" applyFill="1" applyBorder="1"/>
    <x:xf numFmtId="0" fontId="6" fillId="45" borderId="41" xfId="0" applyNumberFormat="1" applyFont="1" applyFill="1" applyBorder="1"/>
    <x:xf numFmtId="0" fontId="8" fillId="46" borderId="41" xfId="0" applyNumberFormat="1" applyFont="1" applyFill="1" applyBorder="1"/>
    <x:xf numFmtId="203" fontId="8" fillId="46" borderId="41" xfId="0" applyNumberFormat="1" applyFont="1" applyFill="1" applyBorder="1"/>
    <x:xf numFmtId="206" fontId="8" fillId="46" borderId="41" xfId="0" applyNumberFormat="1" applyFont="1" applyFill="1" applyBorder="1"/>
    <x:xf numFmtId="0" fontId="4" fillId="44" borderId="2" xfId="0" applyNumberFormat="1" applyFont="1" applyFill="1" applyBorder="1"/>
    <x:xf numFmtId="0" fontId="4" fillId="44" borderId="3" xfId="0" applyNumberFormat="1" applyFont="1" applyFill="1" applyBorder="1"/>
    <x:xf numFmtId="0" fontId="4" fillId="44" borderId="4" xfId="0" applyNumberFormat="1" applyFont="1" applyFill="1" applyBorder="1"/>
    <x:xf numFmtId="0" fontId="6" fillId="45" borderId="5" xfId="0" applyNumberFormat="1" applyFont="1" applyFill="1" applyBorder="1"/>
    <x:xf numFmtId="0" fontId="0" fillId="47" borderId="0" xfId="0" applyNumberFormat="1" applyFont="1" applyFill="1" applyBorder="1"/>
    <x:xf numFmtId="205" fontId="0" fillId="47" borderId="0" xfId="0" applyNumberFormat="1" applyFont="1" applyFill="1" applyBorder="1"/>
    <x:xf numFmtId="203" fontId="0" fillId="47" borderId="0" xfId="0" applyNumberFormat="1" applyFont="1" applyFill="1" applyBorder="1"/>
    <x:xf numFmtId="0" fontId="0" fillId="48" borderId="0" xfId="0" applyNumberFormat="1" applyFont="1" applyFill="1" applyBorder="1"/>
    <x:xf numFmtId="0" fontId="4" fillId="48" borderId="0" xfId="0" applyNumberFormat="1" applyFont="1" applyFill="1" applyBorder="1"/>
    <x:xf numFmtId="0" fontId="4" fillId="48" borderId="2" xfId="0" applyNumberFormat="1" applyFont="1" applyFill="1" applyBorder="1"/>
    <x:xf numFmtId="0" fontId="4" fillId="48" borderId="3" xfId="0" applyNumberFormat="1" applyFont="1" applyFill="1" applyBorder="1"/>
    <x:xf numFmtId="0" fontId="4" fillId="48" borderId="4" xfId="0" applyNumberFormat="1" applyFont="1" applyFill="1" applyBorder="1"/>
    <x:xf numFmtId="0" fontId="0" fillId="49" borderId="0" xfId="0" applyNumberFormat="1" applyFont="1" applyFill="1" applyBorder="1"/>
    <x:xf numFmtId="0" fontId="6" fillId="49" borderId="0" xfId="0" applyNumberFormat="1" applyFont="1" applyFill="1" applyBorder="1"/>
    <x:xf numFmtId="0" fontId="6" fillId="49" borderId="5" xfId="0" applyNumberFormat="1" applyFont="1" applyFill="1" applyBorder="1"/>
    <x:xf numFmtId="206" fontId="0" fillId="0" borderId="26" xfId="0" applyNumberFormat="1" applyFont="1" applyFill="1" applyBorder="1"/>
    <x:xf numFmtId="206" fontId="11" fillId="0" borderId="26" xfId="0" applyNumberFormat="1" applyFont="1" applyFill="1" applyBorder="1"/>
    <x:xf numFmtId="202" fontId="0" fillId="0" borderId="26" xfId="0" applyNumberFormat="1" applyFont="1" applyFill="1" applyBorder="1"/>
    <x:xf numFmtId="202" fontId="11" fillId="0" borderId="26" xfId="0" applyNumberFormat="1" applyFont="1" applyFill="1" applyBorder="1"/>
    <x:xf numFmtId="0" fontId="0" fillId="50" borderId="0" xfId="0" applyNumberFormat="1" applyFont="1" applyFill="1" applyBorder="1"/>
    <x:xf numFmtId="203" fontId="0" fillId="50" borderId="0" xfId="0" applyNumberFormat="1" applyFont="1" applyFill="1" applyBorder="1"/>
    <x:xf numFmtId="202" fontId="5" fillId="0" borderId="26" xfId="0" applyNumberFormat="1" applyFont="1" applyFill="1" applyBorder="1"/>
    <x:xf numFmtId="203" fontId="5" fillId="50" borderId="0" xfId="0" applyNumberFormat="1" applyFont="1" applyFill="1" applyBorder="1"/>
    <x:xf numFmtId="0" fontId="5" fillId="50" borderId="0" xfId="0" applyNumberFormat="1" applyFont="1" applyFill="1" applyBorder="1"/>
    <x:xf numFmtId="0" fontId="0" fillId="51" borderId="0" xfId="0" applyNumberFormat="1" applyFont="1" applyFill="1" applyBorder="1"/>
    <x:xf numFmtId="0" fontId="4" fillId="51" borderId="0" xfId="0" applyNumberFormat="1" applyFont="1" applyFill="1" applyBorder="1"/>
    <x:xf numFmtId="0" fontId="4" fillId="51" borderId="2" xfId="0" applyNumberFormat="1" applyFont="1" applyFill="1" applyBorder="1"/>
    <x:xf numFmtId="0" fontId="4" fillId="51" borderId="3" xfId="0" applyNumberFormat="1" applyFont="1" applyFill="1" applyBorder="1"/>
    <x:xf numFmtId="0" fontId="4" fillId="51" borderId="4" xfId="0" applyNumberFormat="1" applyFont="1" applyFill="1" applyBorder="1"/>
    <x:xf numFmtId="0" fontId="0" fillId="52" borderId="0" xfId="0" applyNumberFormat="1" applyFont="1" applyFill="1" applyBorder="1"/>
    <x:xf numFmtId="0" fontId="6" fillId="52" borderId="0" xfId="0" applyNumberFormat="1" applyFont="1" applyFill="1" applyBorder="1"/>
    <x:xf numFmtId="0" fontId="6" fillId="52" borderId="5" xfId="0" applyNumberFormat="1" applyFont="1" applyFill="1" applyBorder="1"/>
    <x:xf numFmtId="0" fontId="0" fillId="53" borderId="0" xfId="0" applyNumberFormat="1" applyFont="1" applyFill="1" applyBorder="1"/>
    <x:xf numFmtId="203" fontId="0" fillId="53" borderId="0" xfId="0" applyNumberFormat="1" applyFont="1" applyFill="1" applyBorder="1"/>
    <x:xf numFmtId="203" fontId="5" fillId="53" borderId="0" xfId="0" applyNumberFormat="1" applyFont="1" applyFill="1" applyBorder="1"/>
    <x:xf numFmtId="0" fontId="5" fillId="53" borderId="0" xfId="0" applyNumberFormat="1" applyFont="1" applyFill="1" applyBorder="1"/>
    <x:xf numFmtId="0" fontId="0" fillId="54" borderId="0" xfId="0" applyNumberFormat="1" applyFont="1" applyFill="1" applyBorder="1"/>
    <x:xf numFmtId="0" fontId="4" fillId="54" borderId="0" xfId="0" applyNumberFormat="1" applyFont="1" applyFill="1" applyBorder="1"/>
    <x:xf numFmtId="0" fontId="4" fillId="54" borderId="2" xfId="0" applyNumberFormat="1" applyFont="1" applyFill="1" applyBorder="1"/>
    <x:xf numFmtId="0" fontId="4" fillId="54" borderId="3" xfId="0" applyNumberFormat="1" applyFont="1" applyFill="1" applyBorder="1"/>
    <x:xf numFmtId="0" fontId="4" fillId="54" borderId="4" xfId="0" applyNumberFormat="1" applyFont="1" applyFill="1" applyBorder="1"/>
    <x:xf numFmtId="0" fontId="0" fillId="55" borderId="0" xfId="0" applyNumberFormat="1" applyFont="1" applyFill="1" applyBorder="1"/>
    <x:xf numFmtId="0" fontId="6" fillId="55" borderId="0" xfId="0" applyNumberFormat="1" applyFont="1" applyFill="1" applyBorder="1"/>
    <x:xf numFmtId="0" fontId="6" fillId="55" borderId="5" xfId="0" applyNumberFormat="1" applyFont="1" applyFill="1" applyBorder="1"/>
    <x:xf numFmtId="203" fontId="6" fillId="55" borderId="0" xfId="0" applyNumberFormat="1" applyFont="1" applyFill="1" applyBorder="1"/>
    <x:xf numFmtId="205" fontId="0" fillId="56" borderId="0" xfId="0" applyNumberFormat="1" applyFont="1" applyFill="1" applyBorder="1"/>
    <x:xf numFmtId="205" fontId="11" fillId="56" borderId="0" xfId="0" applyNumberFormat="1" applyFont="1" applyFill="1" applyBorder="1"/>
    <x:xf numFmtId="203" fontId="0" fillId="0" borderId="41" xfId="0" applyNumberFormat="1" applyFont="1" applyFill="1" applyBorder="1"/>
    <x:xf numFmtId="203" fontId="0" fillId="0" borderId="42" xfId="0" applyNumberFormat="1" applyFont="1" applyFill="1" applyBorder="1"/>
    <x:xf numFmtId="205" fontId="6" fillId="55" borderId="0" xfId="0" applyNumberFormat="1" applyFont="1" applyFill="1" applyBorder="1"/>
    <x:xf numFmtId="203" fontId="0" fillId="56" borderId="0" xfId="0" applyNumberFormat="1" applyFont="1" applyFill="1" applyBorder="1"/>
    <x:xf numFmtId="203" fontId="11" fillId="56" borderId="0" xfId="0" applyNumberFormat="1" applyFont="1" applyFill="1" applyBorder="1"/>
    <x:xf numFmtId="0" fontId="0" fillId="57" borderId="0" xfId="0" applyNumberFormat="1" applyFont="1" applyFill="1" applyBorder="1"/>
    <x:xf numFmtId="0" fontId="4" fillId="57" borderId="0" xfId="0" applyNumberFormat="1" applyFont="1" applyFill="1" applyBorder="1"/>
    <x:xf numFmtId="0" fontId="4" fillId="57" borderId="2" xfId="0" applyNumberFormat="1" applyFont="1" applyFill="1" applyBorder="1"/>
    <x:xf numFmtId="0" fontId="4" fillId="57" borderId="3" xfId="0" applyNumberFormat="1" applyFont="1" applyFill="1" applyBorder="1"/>
    <x:xf numFmtId="0" fontId="4" fillId="57" borderId="4" xfId="0" applyNumberFormat="1" applyFont="1" applyFill="1" applyBorder="1"/>
    <x:xf numFmtId="0" fontId="0" fillId="58" borderId="0" xfId="0" applyNumberFormat="1" applyFont="1" applyFill="1" applyBorder="1"/>
    <x:xf numFmtId="0" fontId="6" fillId="58" borderId="0" xfId="0" applyNumberFormat="1" applyFont="1" applyFill="1" applyBorder="1"/>
    <x:xf numFmtId="0" fontId="6" fillId="58" borderId="5" xfId="0" applyNumberFormat="1" applyFont="1" applyFill="1" applyBorder="1"/>
    <x:xf numFmtId="203" fontId="6" fillId="58" borderId="0" xfId="0" applyNumberFormat="1" applyFont="1" applyFill="1" applyBorder="1"/>
    <x:xf numFmtId="205" fontId="0" fillId="59" borderId="0" xfId="0" applyNumberFormat="1" applyFont="1" applyFill="1" applyBorder="1"/>
    <x:xf numFmtId="205" fontId="11" fillId="59" borderId="0" xfId="0" applyNumberFormat="1" applyFont="1" applyFill="1" applyBorder="1"/>
    <x:xf numFmtId="205" fontId="6" fillId="58" borderId="0" xfId="0" applyNumberFormat="1" applyFont="1" applyFill="1" applyBorder="1"/>
    <x:xf numFmtId="203" fontId="0" fillId="59" borderId="0" xfId="0" applyNumberFormat="1" applyFont="1" applyFill="1" applyBorder="1"/>
    <x:xf numFmtId="203" fontId="11" fillId="59" borderId="0" xfId="0" applyNumberFormat="1" applyFont="1" applyFill="1" applyBorder="1"/>
    <x:xf numFmtId="0" fontId="0" fillId="60" borderId="0" xfId="0" applyNumberFormat="1" applyFont="1" applyFill="1" applyBorder="1"/>
    <x:xf numFmtId="0" fontId="4" fillId="60" borderId="0" xfId="0" applyNumberFormat="1" applyFont="1" applyFill="1" applyBorder="1"/>
    <x:xf numFmtId="0" fontId="4" fillId="60" borderId="2" xfId="0" applyNumberFormat="1" applyFont="1" applyFill="1" applyBorder="1"/>
    <x:xf numFmtId="0" fontId="4" fillId="60" borderId="3" xfId="0" applyNumberFormat="1" applyFont="1" applyFill="1" applyBorder="1"/>
    <x:xf numFmtId="0" fontId="4" fillId="60" borderId="4" xfId="0" applyNumberFormat="1" applyFont="1" applyFill="1" applyBorder="1"/>
    <x:xf numFmtId="0" fontId="0" fillId="61" borderId="0" xfId="0" applyNumberFormat="1" applyFont="1" applyFill="1" applyBorder="1"/>
    <x:xf numFmtId="0" fontId="6" fillId="61" borderId="0" xfId="0" applyNumberFormat="1" applyFont="1" applyFill="1" applyBorder="1"/>
    <x:xf numFmtId="0" fontId="6" fillId="61" borderId="5" xfId="0" applyNumberFormat="1" applyFont="1" applyFill="1" applyBorder="1"/>
    <x:xf numFmtId="204" fontId="5" fillId="0" borderId="0" xfId="0" applyNumberFormat="1" applyFont="1" applyFill="1" applyBorder="1"/>
    <x:xf numFmtId="0" fontId="0" fillId="62" borderId="0" xfId="0" applyNumberFormat="1" applyFont="1" applyFill="1" applyBorder="1"/>
    <x:xf numFmtId="203" fontId="5" fillId="62" borderId="0" xfId="0" applyNumberFormat="1" applyFont="1" applyFill="1" applyBorder="1"/>
    <x:xf numFmtId="205" fontId="5" fillId="62" borderId="0" xfId="0" applyNumberFormat="1" applyFont="1" applyFill="1" applyBorder="1"/>
    <x:xf numFmtId="0" fontId="5" fillId="62" borderId="0" xfId="0" applyNumberFormat="1" applyFont="1" applyFill="1" applyBorder="1"/>
    <x:xf numFmtId="200" fontId="15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3" fillId="60" borderId="0" xfId="0" applyNumberFormat="1" applyFont="1" applyFill="1" applyBorder="1"/>
    <x:xf numFmtId="0" fontId="20" fillId="0" borderId="0" xfId="0" applyNumberFormat="1" applyFont="1" applyFill="1" applyBorder="1"/>
    <x:xf numFmtId="0" fontId="20" fillId="60" borderId="4" xfId="0" applyNumberFormat="1" applyFont="1" applyFill="1" applyBorder="1"/>
    <x:xf numFmtId="0" fontId="3" fillId="63" borderId="0" xfId="0" applyNumberFormat="1" applyFont="1" applyFill="1" applyBorder="1"/>
    <x:xf numFmtId="0" fontId="3" fillId="63" borderId="27" xfId="0" applyNumberFormat="1" applyFont="1" applyFill="1" applyBorder="1"/>
    <x:xf numFmtId="0" fontId="3" fillId="63" borderId="29" xfId="0" applyNumberFormat="1" applyFont="1" applyFill="1" applyBorder="1"/>
    <x:xf numFmtId="0" fontId="3" fillId="63" borderId="30" xfId="0" applyNumberFormat="1" applyFont="1" applyFill="1" applyBorder="1"/>
    <x:xf numFmtId="0" fontId="3" fillId="63" borderId="32" xfId="0" applyNumberFormat="1" applyFont="1" applyFill="1" applyBorder="1"/>
    <x:xf numFmtId="0" fontId="0" fillId="64" borderId="0" xfId="0" applyNumberFormat="1" applyFont="1" applyFill="1" applyBorder="1"/>
    <x:xf numFmtId="0" fontId="4" fillId="64" borderId="0" xfId="0" applyNumberFormat="1" applyFont="1" applyFill="1" applyBorder="1"/>
    <x:xf numFmtId="0" fontId="4" fillId="64" borderId="2" xfId="0" applyNumberFormat="1" applyFont="1" applyFill="1" applyBorder="1"/>
    <x:xf numFmtId="0" fontId="4" fillId="64" borderId="3" xfId="0" applyNumberFormat="1" applyFont="1" applyFill="1" applyBorder="1"/>
    <x:xf numFmtId="0" fontId="4" fillId="64" borderId="4" xfId="0" applyNumberFormat="1" applyFont="1" applyFill="1" applyBorder="1"/>
    <x:xf numFmtId="0" fontId="0" fillId="65" borderId="0" xfId="0" applyNumberFormat="1" applyFont="1" applyFill="1" applyBorder="1"/>
    <x:xf numFmtId="0" fontId="6" fillId="65" borderId="0" xfId="0" applyNumberFormat="1" applyFont="1" applyFill="1" applyBorder="1"/>
    <x:xf numFmtId="0" fontId="6" fillId="65" borderId="5" xfId="0" applyNumberFormat="1" applyFont="1" applyFill="1" applyBorder="1"/>
    <x:xf numFmtId="0" fontId="0" fillId="66" borderId="0" xfId="0" applyNumberFormat="1" applyFont="1" applyFill="1" applyBorder="1"/>
    <x:xf numFmtId="203" fontId="5" fillId="66" borderId="0" xfId="0" applyNumberFormat="1" applyFont="1" applyFill="1" applyBorder="1"/>
    <x:xf numFmtId="205" fontId="5" fillId="66" borderId="0" xfId="0" applyNumberFormat="1" applyFont="1" applyFill="1" applyBorder="1"/>
    <x:xf numFmtId="0" fontId="5" fillId="66" borderId="0" xfId="0" applyNumberFormat="1" applyFont="1" applyFill="1" applyBorder="1"/>
    <x:xf numFmtId="0" fontId="20" fillId="64" borderId="4" xfId="0" applyNumberFormat="1" applyFont="1" applyFill="1" applyBorder="1"/>
    <x:xf numFmtId="0" fontId="3" fillId="67" borderId="27" xfId="0" applyNumberFormat="1" applyFont="1" applyFill="1" applyBorder="1"/>
    <x:xf numFmtId="0" fontId="3" fillId="67" borderId="29" xfId="0" applyNumberFormat="1" applyFont="1" applyFill="1" applyBorder="1"/>
    <x:xf numFmtId="0" fontId="3" fillId="67" borderId="30" xfId="0" applyNumberFormat="1" applyFont="1" applyFill="1" applyBorder="1"/>
    <x:xf numFmtId="0" fontId="3" fillId="67" borderId="32" xfId="0" applyNumberFormat="1" applyFont="1" applyFill="1" applyBorder="1"/>
    <x:xf numFmtId="0" fontId="3" fillId="68" borderId="0" xfId="0" applyNumberFormat="1" applyFont="1" applyFill="1" applyBorder="1"/>
    <x:xf numFmtId="0" fontId="4" fillId="68" borderId="0" xfId="0" applyNumberFormat="1" applyFont="1" applyFill="1" applyBorder="1"/>
    <x:xf numFmtId="0" fontId="4" fillId="68" borderId="2" xfId="0" applyNumberFormat="1" applyFont="1" applyFill="1" applyBorder="1"/>
    <x:xf numFmtId="0" fontId="4" fillId="68" borderId="3" xfId="0" applyNumberFormat="1" applyFont="1" applyFill="1" applyBorder="1"/>
    <x:xf numFmtId="0" fontId="4" fillId="68" borderId="4" xfId="0" applyNumberFormat="1" applyFont="1" applyFill="1" applyBorder="1"/>
    <x:xf numFmtId="0" fontId="3" fillId="69" borderId="0" xfId="0" applyNumberFormat="1" applyFont="1" applyFill="1" applyBorder="1"/>
    <x:xf numFmtId="0" fontId="6" fillId="69" borderId="0" xfId="0" applyNumberFormat="1" applyFont="1" applyFill="1" applyBorder="1"/>
    <x:xf numFmtId="0" fontId="6" fillId="69" borderId="5" xfId="0" applyNumberFormat="1" applyFont="1" applyFill="1" applyBorder="1"/>
    <x:xf numFmtId="0" fontId="6" fillId="69" borderId="5" xfId="0" applyNumberFormat="1" applyFont="1" applyFill="1" applyBorder="1" applyAlignment="1">
      <x:alignment vertical="center"/>
    </x:xf>
    <x:xf numFmtId="0" fontId="3" fillId="70" borderId="0" xfId="0" applyNumberFormat="1" applyFont="1" applyFill="1" applyBorder="1"/>
    <x:xf numFmtId="0" fontId="17" fillId="70" borderId="0" xfId="0" applyNumberFormat="1" applyFont="1" applyFill="1" applyBorder="1"/>
    <x:xf numFmtId="203" fontId="17" fillId="70" borderId="0" xfId="0" applyNumberFormat="1" applyFont="1" applyFill="1" applyBorder="1"/>
    <x:xf numFmtId="0" fontId="0" fillId="68" borderId="0" xfId="0" applyNumberFormat="1" applyFont="1" applyFill="1" applyBorder="1"/>
    <x:xf numFmtId="0" fontId="16" fillId="69" borderId="0" xfId="0" applyNumberFormat="1" applyFont="1" applyFill="1" applyBorder="1"/>
    <x:xf numFmtId="0" fontId="2" fillId="69" borderId="0" xfId="0" applyNumberFormat="1" applyFont="1" applyFill="1" applyBorder="1"/>
    <x:xf numFmtId="0" fontId="21" fillId="69" borderId="0" xfId="0" applyNumberFormat="1" applyFont="1" applyFill="1" applyBorder="1"/>
    <x:xf numFmtId="0" fontId="21" fillId="69" borderId="5" xfId="0" applyNumberFormat="1" applyFont="1" applyFill="1" applyBorder="1"/>
    <x:xf numFmtId="0" fontId="21" fillId="69" borderId="5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/>
    <x:xf numFmtId="205" fontId="22" fillId="0" borderId="0" xfId="0" applyNumberFormat="1" applyFont="1" applyFill="1" applyBorder="1"/>
    <x:xf numFmtId="204" fontId="12" fillId="0" borderId="0" xfId="0" applyNumberFormat="1" applyFont="1" applyFill="1" applyBorder="1"/>
    <x:xf numFmtId="203" fontId="12" fillId="0" borderId="0" xfId="0" applyNumberFormat="1" applyFont="1" applyFill="1" applyBorder="1"/>
    <x:xf numFmtId="205" fontId="12" fillId="0" borderId="0" xfId="0" applyNumberFormat="1" applyFont="1" applyFill="1" applyBorder="1"/>
    <x:xf numFmtId="202" fontId="12" fillId="0" borderId="0" xfId="0" applyNumberFormat="1" applyFont="1" applyFill="1" applyBorder="1"/>
    <x:xf numFmtId="0" fontId="22" fillId="0" borderId="0" xfId="0" applyNumberFormat="1" applyFont="1" applyFill="1" applyBorder="1"/>
    <x:xf numFmtId="203" fontId="12" fillId="71" borderId="0" xfId="0" applyNumberFormat="1" applyFont="1" applyFill="1" applyBorder="1"/>
    <x:xf numFmtId="203" fontId="12" fillId="72" borderId="0" xfId="0" applyNumberFormat="1" applyFont="1" applyFill="1" applyBorder="1"/>
    <x:xf numFmtId="0" fontId="0" fillId="69" borderId="0" xfId="0" applyNumberFormat="1" applyFont="1" applyFill="1" applyBorder="1"/>
    <x:xf numFmtId="207" fontId="0" fillId="0" borderId="0" xfId="0" applyNumberFormat="1" applyFont="1" applyFill="1" applyBorder="1"/>
    <x:xf numFmtId="207" fontId="3" fillId="0" borderId="0" xfId="0" applyNumberFormat="1" applyFont="1" applyFill="1" applyBorder="1"/>
    <x:xf numFmtId="207" fontId="12" fillId="0" borderId="0" xfId="0" applyNumberFormat="1" applyFont="1" applyFill="1" applyBorder="1"/>
    <x:xf numFmtId="0" fontId="23" fillId="0" borderId="0" xfId="0" applyNumberFormat="1" applyFont="1" applyFill="1" applyBorder="1"/>
    <x:xf numFmtId="0" fontId="24" fillId="0" borderId="0" xfId="0" applyNumberFormat="1" applyFont="1" applyFill="1" applyBorder="1"/>
    <x:xf numFmtId="0" fontId="24" fillId="0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4" fillId="73" borderId="0" xfId="0" applyNumberFormat="1" applyFont="1" applyFill="1" applyBorder="1"/>
    <x:xf numFmtId="0" fontId="4" fillId="73" borderId="2" xfId="0" applyNumberFormat="1" applyFont="1" applyFill="1" applyBorder="1"/>
    <x:xf numFmtId="0" fontId="4" fillId="73" borderId="3" xfId="0" applyNumberFormat="1" applyFont="1" applyFill="1" applyBorder="1"/>
    <x:xf numFmtId="0" fontId="4" fillId="73" borderId="4" xfId="0" applyNumberFormat="1" applyFont="1" applyFill="1" applyBorder="1"/>
    <x:xf numFmtId="0" fontId="0" fillId="74" borderId="0" xfId="0" applyNumberFormat="1" applyFont="1" applyFill="1" applyBorder="1"/>
    <x:xf numFmtId="0" fontId="6" fillId="74" borderId="0" xfId="0" applyNumberFormat="1" applyFont="1" applyFill="1" applyBorder="1"/>
    <x:xf numFmtId="0" fontId="6" fillId="74" borderId="5" xfId="0" applyNumberFormat="1" applyFont="1" applyFill="1" applyBorder="1"/>
    <x:xf numFmtId="0" fontId="6" fillId="74" borderId="5" xfId="0" applyNumberFormat="1" applyFont="1" applyFill="1" applyBorder="1" applyAlignment="1">
      <x:alignment horizontal="center"/>
    </x:xf>
    <x:xf numFmtId="0" fontId="6" fillId="74" borderId="5" xfId="0" applyNumberFormat="1" applyFont="1" applyFill="1" applyBorder="1" applyAlignment="1">
      <x:alignment horizontal="center" vertical="center"/>
    </x:xf>
    <x:xf numFmtId="205" fontId="18" fillId="0" borderId="0" xfId="0" applyNumberFormat="1" applyFont="1" applyFill="1" applyBorder="1"/>
    <x:xf numFmtId="203" fontId="18" fillId="0" borderId="0" xfId="0" applyNumberFormat="1" applyFont="1" applyFill="1" applyBorder="1"/>
    <x:xf numFmtId="208" fontId="18" fillId="0" borderId="0" xfId="0" applyNumberFormat="1" applyFont="1" applyFill="1" applyBorder="1"/>
    <x:xf numFmtId="202" fontId="18" fillId="0" borderId="0" xfId="0" applyNumberFormat="1" applyFont="1" applyFill="1" applyBorder="1"/>
    <x:xf numFmtId="204" fontId="18" fillId="0" borderId="0" xfId="0" applyNumberFormat="1" applyFont="1" applyFill="1" applyBorder="1"/>
    <x:xf numFmtId="203" fontId="6" fillId="74" borderId="5" xfId="0" applyNumberFormat="1" applyFont="1" applyFill="1" applyBorder="1" applyAlignment="1">
      <x:alignment horizontal="center" vertical="center"/>
    </x:xf>
    <x:xf numFmtId="203" fontId="12" fillId="0" borderId="41" xfId="0" applyNumberFormat="1" applyFont="1" applyFill="1" applyBorder="1"/>
    <x:xf numFmtId="202" fontId="6" fillId="74" borderId="5" xfId="0" applyNumberFormat="1" applyFont="1" applyFill="1" applyBorder="1" applyAlignment="1">
      <x:alignment horizontal="center" vertical="center"/>
    </x:xf>
    <x:xf numFmtId="209" fontId="6" fillId="74" borderId="5" xfId="0" applyNumberFormat="1" applyFont="1" applyFill="1" applyBorder="1" applyAlignment="1">
      <x:alignment horizontal="center" vertical="center"/>
    </x:xf>
    <x:xf numFmtId="0" fontId="3" fillId="73" borderId="0" xfId="0" applyNumberFormat="1" applyFont="1" applyFill="1" applyBorder="1"/>
    <x:xf numFmtId="0" fontId="3" fillId="75" borderId="0" xfId="0" applyNumberFormat="1" applyFont="1" applyFill="1" applyBorder="1"/>
    <x:xf numFmtId="0" fontId="4" fillId="75" borderId="0" xfId="0" applyNumberFormat="1" applyFont="1" applyFill="1" applyBorder="1"/>
    <x:xf numFmtId="0" fontId="4" fillId="75" borderId="2" xfId="0" applyNumberFormat="1" applyFont="1" applyFill="1" applyBorder="1"/>
    <x:xf numFmtId="0" fontId="4" fillId="75" borderId="3" xfId="0" applyNumberFormat="1" applyFont="1" applyFill="1" applyBorder="1"/>
    <x:xf numFmtId="0" fontId="4" fillId="75" borderId="4" xfId="0" applyNumberFormat="1" applyFont="1" applyFill="1" applyBorder="1"/>
    <x:xf numFmtId="0" fontId="3" fillId="76" borderId="0" xfId="0" applyNumberFormat="1" applyFont="1" applyFill="1" applyBorder="1"/>
    <x:xf numFmtId="0" fontId="6" fillId="76" borderId="0" xfId="0" applyNumberFormat="1" applyFont="1" applyFill="1" applyBorder="1"/>
    <x:xf numFmtId="0" fontId="6" fillId="76" borderId="5" xfId="0" applyNumberFormat="1" applyFont="1" applyFill="1" applyBorder="1"/>
    <x:xf numFmtId="0" fontId="6" fillId="76" borderId="5" xfId="0" applyNumberFormat="1" applyFont="1" applyFill="1" applyBorder="1" applyAlignment="1">
      <x:alignment horizontal="center"/>
    </x:xf>
    <x:xf numFmtId="0" fontId="3" fillId="77" borderId="0" xfId="0" applyNumberFormat="1" applyFont="1" applyFill="1" applyBorder="1"/>
    <x:xf numFmtId="0" fontId="17" fillId="77" borderId="0" xfId="0" applyNumberFormat="1" applyFont="1" applyFill="1" applyBorder="1"/>
    <x:xf numFmtId="0" fontId="17" fillId="77" borderId="41" xfId="0" applyNumberFormat="1" applyFont="1" applyFill="1" applyBorder="1"/>
    <x:xf numFmtId="0" fontId="3" fillId="78" borderId="41" xfId="0" applyNumberFormat="1" applyFont="1" applyFill="1" applyBorder="1"/>
    <x:xf numFmtId="0" fontId="20" fillId="78" borderId="41" xfId="0" applyNumberFormat="1" applyFont="1" applyFill="1" applyBorder="1"/>
    <x:xf numFmtId="203" fontId="17" fillId="77" borderId="41" xfId="0" applyNumberFormat="1" applyFont="1" applyFill="1" applyBorder="1"/>
    <x:xf numFmtId="203" fontId="20" fillId="78" borderId="41" xfId="0" applyNumberFormat="1" applyFont="1" applyFill="1" applyBorder="1"/>
    <x:xf numFmtId="205" fontId="17" fillId="77" borderId="41" xfId="0" applyNumberFormat="1" applyFont="1" applyFill="1" applyBorder="1"/>
    <x:xf numFmtId="205" fontId="20" fillId="78" borderId="41" xfId="0" applyNumberFormat="1" applyFont="1" applyFill="1" applyBorder="1"/>
    <x:xf numFmtId="204" fontId="17" fillId="77" borderId="41" xfId="0" applyNumberFormat="1" applyFont="1" applyFill="1" applyBorder="1"/>
    <x:xf numFmtId="204" fontId="20" fillId="78" borderId="41" xfId="0" applyNumberFormat="1" applyFont="1" applyFill="1" applyBorder="1"/>
    <x:xf numFmtId="209" fontId="17" fillId="77" borderId="41" xfId="0" applyNumberFormat="1" applyFont="1" applyFill="1" applyBorder="1"/>
    <x:xf numFmtId="209" fontId="20" fillId="78" borderId="41" xfId="0" applyNumberFormat="1" applyFont="1" applyFill="1" applyBorder="1"/>
    <x:xf numFmtId="203" fontId="8" fillId="78" borderId="8" xfId="0" applyNumberFormat="1" applyFont="1" applyFill="1" applyBorder="1"/>
    <x:xf numFmtId="203" fontId="18" fillId="78" borderId="8" xfId="0" applyNumberFormat="1" applyFont="1" applyFill="1" applyBorder="1"/>
    <x:xf numFmtId="201" fontId="8" fillId="78" borderId="8" xfId="0" applyNumberFormat="1" applyFont="1" applyFill="1" applyBorder="1"/>
    <x:xf numFmtId="201" fontId="18" fillId="78" borderId="8" xfId="0" applyNumberFormat="1" applyFont="1" applyFill="1" applyBorder="1"/>
    <x:xf numFmtId="0" fontId="8" fillId="78" borderId="8" xfId="0" applyNumberFormat="1" applyFont="1" applyFill="1" applyBorder="1"/>
    <x:xf numFmtId="0" fontId="18" fillId="78" borderId="8" xfId="0" applyNumberFormat="1" applyFont="1" applyFill="1" applyBorder="1"/>
    <x:xf numFmtId="200" fontId="8" fillId="78" borderId="7" xfId="0" applyNumberFormat="1" applyFont="1" applyFill="1" applyBorder="1"/>
    <x:xf numFmtId="200" fontId="18" fillId="78" borderId="7" xfId="0" applyNumberFormat="1" applyFont="1" applyFill="1" applyBorder="1"/>
    <x:xf numFmtId="203" fontId="8" fillId="78" borderId="41" xfId="0" applyNumberFormat="1" applyFont="1" applyFill="1" applyBorder="1"/>
    <x:xf numFmtId="203" fontId="18" fillId="78" borderId="41" xfId="0" applyNumberFormat="1" applyFont="1" applyFill="1" applyBorder="1"/>
    <x:xf numFmtId="203" fontId="0" fillId="78" borderId="0" xfId="0" applyNumberFormat="1" applyFont="1" applyFill="1" applyBorder="1"/>
    <x:xf numFmtId="203" fontId="18" fillId="78" borderId="0" xfId="0" applyNumberFormat="1" applyFont="1" applyFill="1" applyBorder="1"/>
    <x:xf numFmtId="0" fontId="25" fillId="0" borderId="0" xfId="0" applyNumberFormat="1" applyFont="1" applyFill="1" applyBorder="1"/>
    <x:xf numFmtId="210" fontId="3" fillId="0" borderId="0" xfId="0" applyNumberFormat="1" applyFont="1" applyFill="1" applyBorder="1"/>
    <x:xf numFmtId="209" fontId="3" fillId="0" borderId="0" xfId="0" applyNumberFormat="1" applyFont="1" applyFill="1" applyBorder="1"/>
    <x:xf numFmtId="0" fontId="3" fillId="79" borderId="0" xfId="0" applyNumberFormat="1" applyFont="1" applyFill="1" applyBorder="1"/>
    <x:xf numFmtId="0" fontId="4" fillId="79" borderId="0" xfId="0" applyNumberFormat="1" applyFont="1" applyFill="1" applyBorder="1"/>
    <x:xf numFmtId="0" fontId="4" fillId="79" borderId="2" xfId="0" applyNumberFormat="1" applyFont="1" applyFill="1" applyBorder="1"/>
    <x:xf numFmtId="0" fontId="4" fillId="79" borderId="3" xfId="0" applyNumberFormat="1" applyFont="1" applyFill="1" applyBorder="1"/>
    <x:xf numFmtId="0" fontId="4" fillId="79" borderId="4" xfId="0" applyNumberFormat="1" applyFont="1" applyFill="1" applyBorder="1"/>
    <x:xf numFmtId="211" fontId="3" fillId="0" borderId="0" xfId="0" applyNumberFormat="1" applyFont="1" applyFill="1" applyBorder="1"/>
    <x:xf numFmtId="21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center"/>
    </x:xf>
    <x:xf numFmtId="0" fontId="0" fillId="80" borderId="0" xfId="0" applyNumberFormat="1" applyFont="1" applyFill="1" applyBorder="1"/>
    <x:xf numFmtId="0" fontId="4" fillId="80" borderId="0" xfId="0" applyNumberFormat="1" applyFont="1" applyFill="1" applyBorder="1"/>
    <x:xf numFmtId="0" fontId="4" fillId="80" borderId="2" xfId="0" applyNumberFormat="1" applyFont="1" applyFill="1" applyBorder="1"/>
    <x:xf numFmtId="0" fontId="4" fillId="80" borderId="3" xfId="0" applyNumberFormat="1" applyFont="1" applyFill="1" applyBorder="1"/>
    <x:xf numFmtId="0" fontId="4" fillId="80" borderId="4" xfId="0" applyNumberFormat="1" applyFont="1" applyFill="1" applyBorder="1"/>
    <x:xf numFmtId="209" fontId="18" fillId="0" borderId="0" xfId="0" applyNumberFormat="1" applyFont="1" applyFill="1" applyBorder="1"/>
    <x:xf numFmtId="0" fontId="18" fillId="81" borderId="0" xfId="0" applyNumberFormat="1" applyFont="1" applyFill="1" applyBorder="1"/>
    <x:xf numFmtId="0" fontId="20" fillId="81" borderId="0" xfId="0" applyNumberFormat="1" applyFont="1" applyFill="1" applyBorder="1"/>
    <x:xf numFmtId="0" fontId="27" fillId="0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0" fillId="82" borderId="0" xfId="0" applyNumberFormat="1" applyFont="1" applyFill="1" applyBorder="1"/>
    <x:xf numFmtId="0" fontId="6" fillId="82" borderId="0" xfId="0" applyNumberFormat="1" applyFont="1" applyFill="1" applyBorder="1"/>
    <x:xf numFmtId="0" fontId="6" fillId="82" borderId="5" xfId="0" applyNumberFormat="1" applyFont="1" applyFill="1" applyBorder="1"/>
    <x:xf numFmtId="0" fontId="6" fillId="82" borderId="5" xfId="0" applyNumberFormat="1" applyFont="1" applyFill="1" applyBorder="1" applyAlignment="1">
      <x:alignment vertical="center"/>
    </x:xf>
    <x:xf numFmtId="0" fontId="0" fillId="81" borderId="0" xfId="0" applyNumberFormat="1" applyFont="1" applyFill="1" applyBorder="1"/>
    <x:xf numFmtId="203" fontId="18" fillId="81" borderId="0" xfId="0" applyNumberFormat="1" applyFont="1" applyFill="1" applyBorder="1"/>
    <x:xf numFmtId="0" fontId="24" fillId="81" borderId="0" xfId="0" applyNumberFormat="1" applyFont="1" applyFill="1" applyBorder="1"/>
    <x:xf numFmtId="0" fontId="0" fillId="83" borderId="41" xfId="0" applyNumberFormat="1" applyFont="1" applyFill="1" applyBorder="1"/>
    <x:xf numFmtId="205" fontId="0" fillId="83" borderId="41" xfId="0" applyNumberFormat="1" applyFont="1" applyFill="1" applyBorder="1"/>
    <x:xf numFmtId="203" fontId="6" fillId="82" borderId="5" xfId="0" applyNumberFormat="1" applyFont="1" applyFill="1" applyBorder="1" applyAlignment="1">
      <x:alignment vertical="center"/>
    </x:xf>
    <x:xf numFmtId="0" fontId="28" fillId="0" borderId="0" xfId="0" applyNumberFormat="1" applyFont="1" applyFill="1" applyBorder="1"/>
    <x:xf numFmtId="209" fontId="25" fillId="0" borderId="0" xfId="0" applyNumberFormat="1" applyFont="1" applyFill="1" applyBorder="1"/>
    <x:xf numFmtId="0" fontId="4" fillId="80" borderId="2" xfId="0" applyNumberFormat="1" applyFont="1" applyFill="1" applyBorder="1" applyAlignment="1">
      <x:alignment vertical="center"/>
    </x:xf>
    <x:xf numFmtId="0" fontId="4" fillId="80" borderId="3" xfId="0" applyNumberFormat="1" applyFont="1" applyFill="1" applyBorder="1" applyAlignment="1">
      <x:alignment vertical="center"/>
    </x:xf>
    <x:xf numFmtId="0" fontId="4" fillId="80" borderId="4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/>
    </x:xf>
    <x:xf numFmtId="209" fontId="18" fillId="0" borderId="0" xfId="0" applyNumberFormat="1" applyFont="1" applyFill="1" applyBorder="1" applyAlignment="1">
      <x:alignment vertical="center"/>
    </x:xf>
    <x:xf numFmtId="202" fontId="18" fillId="0" borderId="0" xfId="0" applyNumberFormat="1" applyFont="1" applyFill="1" applyBorder="1" applyAlignment="1">
      <x:alignment vertical="center"/>
    </x:xf>
    <x:xf numFmtId="203" fontId="18" fillId="0" borderId="0" xfId="0" applyNumberFormat="1" applyFont="1" applyFill="1" applyBorder="1" applyAlignment="1">
      <x:alignment vertical="center"/>
    </x:xf>
    <x:xf numFmtId="205" fontId="18" fillId="0" borderId="0" xfId="0" applyNumberFormat="1" applyFont="1" applyFill="1" applyBorder="1" applyAlignment="1">
      <x:alignment vertical="center"/>
    </x:xf>
    <x:xf numFmtId="0" fontId="20" fillId="81" borderId="0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 applyAlignment="1">
      <x:alignment vertical="center" wrapText="1"/>
    </x:xf>
    <x:xf numFmtId="204" fontId="18" fillId="0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/>
    </x:xf>
    <x:xf numFmtId="0" fontId="0" fillId="81" borderId="0" xfId="0" applyNumberFormat="1" applyFont="1" applyFill="1" applyBorder="1" applyAlignment="1">
      <x:alignment vertical="center"/>
    </x:xf>
    <x:xf numFmtId="203" fontId="18" fillId="81" borderId="0" xfId="0" applyNumberFormat="1" applyFont="1" applyFill="1" applyBorder="1" applyAlignment="1">
      <x:alignment vertical="center"/>
    </x:xf>
    <x:xf numFmtId="0" fontId="24" fillId="81" borderId="0" xfId="0" applyNumberFormat="1" applyFont="1" applyFill="1" applyBorder="1" applyAlignment="1">
      <x:alignment vertical="center"/>
    </x:xf>
    <x:xf numFmtId="205" fontId="0" fillId="83" borderId="41" xfId="0" applyNumberFormat="1" applyFont="1" applyFill="1" applyBorder="1" applyAlignment="1">
      <x:alignment vertical="center"/>
    </x:xf>
    <x:xf numFmtId="203" fontId="0" fillId="0" borderId="41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/>
    </x:xf>
    <x:xf numFmtId="209" fontId="2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4586015774d6d" /><Relationship Type="http://schemas.openxmlformats.org/officeDocument/2006/relationships/theme" Target="/xl/theme/theme1.xml" Id="R4cdf4591d673482b" /><Relationship Type="http://schemas.openxmlformats.org/officeDocument/2006/relationships/sharedStrings" Target="/xl/sharedStrings.xml" Id="R136b2c252ddd4a7e" /><Relationship Type="http://schemas.openxmlformats.org/officeDocument/2006/relationships/worksheet" Target="/xl/worksheets/sheet1.xml" Id="R937e217ef28e47a4" /><Relationship Type="http://schemas.openxmlformats.org/officeDocument/2006/relationships/worksheet" Target="/xl/worksheets/sheet2.xml" Id="Rdac26ba3aa0741f7" /><Relationship Type="http://schemas.openxmlformats.org/officeDocument/2006/relationships/worksheet" Target="/xl/worksheets/sheet3.xml" Id="Rd845dd6e6b5c477e" /><Relationship Type="http://schemas.openxmlformats.org/officeDocument/2006/relationships/worksheet" Target="/xl/worksheets/sheet4.xml" Id="R7c30735f34214572" /><Relationship Type="http://schemas.openxmlformats.org/officeDocument/2006/relationships/worksheet" Target="/xl/worksheets/sheet5.xml" Id="R4e82afc2bae247f8" /><Relationship Type="http://schemas.openxmlformats.org/officeDocument/2006/relationships/worksheet" Target="/xl/worksheets/sheet6.xml" Id="R9a778c8f59c945cd" /><Relationship Type="http://schemas.openxmlformats.org/officeDocument/2006/relationships/worksheet" Target="/xl/worksheets/sheet7.xml" Id="Rfc94cc628ec94208" /><Relationship Type="http://schemas.openxmlformats.org/officeDocument/2006/relationships/worksheet" Target="/xl/worksheets/sheet8.xml" Id="R6bd88bd3fb824df2" /><Relationship Type="http://schemas.openxmlformats.org/officeDocument/2006/relationships/worksheet" Target="/xl/worksheets/sheet9.xml" Id="R9e15acc14ed84f27" /><Relationship Type="http://schemas.openxmlformats.org/officeDocument/2006/relationships/worksheet" Target="/xl/worksheets/sheet10.xml" Id="R9a471577c8724805" /><Relationship Type="http://schemas.openxmlformats.org/officeDocument/2006/relationships/worksheet" Target="/xl/worksheets/sheet11.xml" Id="R86ef102a90644059" /><Relationship Type="http://schemas.openxmlformats.org/officeDocument/2006/relationships/worksheet" Target="/xl/worksheets/sheet12.xml" Id="R3cb98d71ec8643ac" /><Relationship Type="http://schemas.openxmlformats.org/officeDocument/2006/relationships/worksheet" Target="/xl/worksheets/sheet13.xml" Id="R5975210aed30461b" /><Relationship Type="http://schemas.openxmlformats.org/officeDocument/2006/relationships/worksheet" Target="/xl/worksheets/sheet14.xml" Id="Rb331e9d5969241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cad5bf85bb42d8" /><Relationship Type="http://schemas.openxmlformats.org/officeDocument/2006/relationships/chart" Target="/xl/drawings/charts/chart2.xml" Id="Rf41eb02a00474b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EPS accretion / (dilution)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EPS A/D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'Cover &amp; Summary'!$A$3:$A$5</c:f>
              <c:strCache>
                <c:ptCount val="0"/>
              </c:strCache>
            </c:strRef>
          </c:cat>
          <c:val>
            <c:numRef>
              <c:f>'Cover &amp; Summary'!$B$3:$B$5</c:f>
              <c:numCache>
                <c:formatCode>0.0%;(0.0%)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;(0.0%)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Funding sources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Amount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'Cover &amp; Summary'!$A$8:$A$11</c:f>
              <c:strCache>
                <c:ptCount val="0"/>
              </c:strCache>
            </c:strRef>
          </c:cat>
          <c:val>
            <c:numRef>
              <c:f>'Cover &amp; Summary'!$B$8:$B$11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cad5bf85bb42d8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13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1eb02a00474b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b0cc336fe8492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18" hidden="0" customWidth="1"/>
    <x:col min="5" max="5" width="30" hidden="0" customWidth="1"/>
    <x:col min="6" max="6" width="17" hidden="0" customWidth="1"/>
    <x:col min="7" max="7" width="18" hidden="0" customWidth="1"/>
    <x:col min="8" max="8" width="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/>
    </x:row>
    <x:row r="2" ht="21" customHeight="1">
      <x:c r="A2" s="613" t="str">
        <x:v>Period</x:v>
      </x:c>
      <x:c r="B2" s="613" t="str">
        <x:v>EPS A/D</x:v>
      </x:c>
      <x:c r="C2" s="2" t="str">
        <x:v>UPS acquisition of GXO Logistics</x:v>
      </x:c>
      <x:c r="D2" s="2"/>
      <x:c r="E2" s="2"/>
      <x:c r="F2" s="2"/>
      <x:c r="G2" s="2"/>
      <x:c r="H2" s="2"/>
      <x:c r="I2" s="2"/>
      <x:c r="J2" s="2"/>
      <x:c r="K2" s="2"/>
      <x:c r="L2" s="2"/>
      <x:c r="M2" s="612"/>
    </x:row>
    <x:row r="3" ht="21" customHeight="1">
      <x:c r="A3" s="613" t="str">
        <x:v>FY:26E</x:v>
      </x:c>
      <x:c r="B3" s="613" t="n">
        <x:f>'Accretion-Dilution'!D17</x:f>
        <x:v>-0.02346893443324094</x:v>
      </x:c>
      <x:c r="C3" s="3" t="str">
        <x:v>M&amp;A accretion-dilution model | USD in millions except per-share data | Financials as of 31 December 2025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613" t="str">
        <x:v>FY:27E</x:v>
      </x:c>
      <x:c r="B4" s="613" t="n">
        <x:f>'Accretion-Dilution'!E17</x:f>
        <x:v>-0.00833383652045383</x:v>
      </x:c>
    </x:row>
    <x:row r="5">
      <x:c r="A5" s="613" t="str">
        <x:v>FY:28E</x:v>
      </x:c>
      <x:c r="B5" s="613" t="n">
        <x:f>'Accretion-Dilution'!F17</x:f>
        <x:v>0.02043184257214259</x:v>
      </x:c>
      <x:c r="C5" s="637" t="str">
        <x:v>Transaction snapshot</x:v>
      </x:c>
      <x:c r="D5" s="638"/>
      <x:c r="E5" s="638"/>
      <x:c r="F5" s="638"/>
      <x:c r="G5" s="638"/>
      <x:c r="H5" s="638"/>
      <x:c r="I5" s="638"/>
      <x:c r="J5" s="638"/>
      <x:c r="K5" s="638"/>
      <x:c r="L5" s="638"/>
      <x:c r="M5" s="639"/>
    </x:row>
    <x:row r="6">
      <x:c r="A6" s="613"/>
      <x:c r="B6" s="613"/>
      <x:c r="C6" s="79"/>
      <x:c r="D6" s="79"/>
      <x:c r="E6" s="79"/>
      <x:c r="F6" s="79"/>
      <x:c r="G6" s="79"/>
      <x:c r="H6" s="79"/>
      <x:c r="I6" s="79"/>
      <x:c r="J6" s="79"/>
      <x:c r="K6" s="79"/>
      <x:c r="L6" s="79"/>
      <x:c r="M6" s="79"/>
    </x:row>
    <x:row r="7">
      <x:c r="A7" s="613" t="str">
        <x:v>Funding source</x:v>
      </x:c>
      <x:c r="B7" s="613" t="str">
        <x:v>Amount</x:v>
      </x:c>
      <x:c r="C7" s="640" t="str">
        <x:v>Buyer</x:v>
      </x:c>
      <x:c r="D7" s="641" t="str">
        <x:f>"United Parcel Service, Inc. (NYSE: UPS)"</x:f>
        <x:v>United Parcel Service, Inc. (NYSE: UPS)</x:v>
      </x:c>
      <x:c r="E7" s="641"/>
      <x:c r="F7" s="641"/>
      <x:c r="G7" s="641"/>
      <x:c r="H7" s="79"/>
      <x:c r="I7" s="79"/>
      <x:c r="J7" s="79"/>
      <x:c r="K7" s="79"/>
      <x:c r="L7" s="79"/>
      <x:c r="M7" s="79"/>
    </x:row>
    <x:row r="8">
      <x:c r="A8" s="613" t="str">
        <x:v>UPS cash</x:v>
      </x:c>
      <x:c r="B8" s="613" t="n">
        <x:f>'Sources &amp; Uses'!D17</x:f>
        <x:v>2000</x:v>
      </x:c>
      <x:c r="C8" s="640" t="str">
        <x:v>Target</x:v>
      </x:c>
      <x:c r="D8" s="641" t="str">
        <x:f>"GXO Logistics, Inc. (NYSE: GXO)"</x:f>
        <x:v>GXO Logistics, Inc. (NYSE: GXO)</x:v>
      </x:c>
      <x:c r="E8" s="641"/>
      <x:c r="F8" s="641"/>
      <x:c r="G8" s="641"/>
      <x:c r="H8" s="79"/>
      <x:c r="I8" s="79"/>
      <x:c r="J8" s="79"/>
      <x:c r="K8" s="79"/>
      <x:c r="L8" s="79"/>
      <x:c r="M8" s="79"/>
    </x:row>
    <x:row r="9">
      <x:c r="A9" s="614" t="str">
        <x:v>GXO cash acquired</x:v>
      </x:c>
      <x:c r="B9" s="613" t="n">
        <x:f>'Sources &amp; Uses'!D18</x:f>
        <x:v>854</x:v>
      </x:c>
      <x:c r="C9" s="640" t="str">
        <x:v>Transaction status</x:v>
      </x:c>
      <x:c r="D9" s="641" t="str">
        <x:f>"Hypothetical"</x:f>
        <x:v>Hypothetical</x:v>
      </x:c>
      <x:c r="E9" s="641"/>
      <x:c r="F9" s="641"/>
      <x:c r="G9" s="641"/>
      <x:c r="H9" s="79"/>
      <x:c r="I9" s="79"/>
      <x:c r="J9" s="79"/>
      <x:c r="K9" s="79"/>
      <x:c r="L9" s="79"/>
      <x:c r="M9" s="79"/>
    </x:row>
    <x:row r="10">
      <x:c r="A10" s="614" t="str">
        <x:v>New acquisition debt</x:v>
      </x:c>
      <x:c r="B10" s="613" t="n">
        <x:f>'Sources &amp; Uses'!D19</x:f>
        <x:v>8509.075939746834</x:v>
      </x:c>
      <x:c r="C10" s="640" t="str">
        <x:v>Selected case</x:v>
      </x:c>
      <x:c r="D10" s="641" t="str">
        <x:f>'Standalone Forecasts'!D6</x:f>
        <x:v>Base</x:v>
      </x:c>
      <x:c r="E10" s="641"/>
      <x:c r="F10" s="641"/>
      <x:c r="G10" s="641"/>
      <x:c r="H10" s="79"/>
      <x:c r="I10" s="79"/>
      <x:c r="J10" s="79"/>
      <x:c r="K10" s="79"/>
      <x:c r="L10" s="79"/>
      <x:c r="M10" s="79"/>
    </x:row>
    <x:row r="11">
      <x:c r="A11" s="614" t="str">
        <x:v>Stock consideration</x:v>
      </x:c>
      <x:c r="B11" s="613" t="n">
        <x:f>'Sources &amp; Uses'!D20</x:f>
        <x:v>0</x:v>
      </x:c>
      <x:c r="C11" s="640" t="str">
        <x:v>Assumed closing</x:v>
      </x:c>
      <x:c r="D11" s="642" t="n">
        <x:f>'Transaction Assumptions'!D31</x:f>
        <x:v>46203</x:v>
      </x:c>
      <x:c r="E11" s="642"/>
      <x:c r="F11" s="642"/>
      <x:c r="G11" s="642"/>
      <x:c r="H11" s="79"/>
      <x:c r="I11" s="79"/>
      <x:c r="J11" s="79"/>
      <x:c r="K11" s="79"/>
      <x:c r="L11" s="79"/>
      <x:c r="M11" s="79"/>
    </x:row>
    <x:row r="12">
      <x:c r="A12" s="79"/>
      <x:c r="C12" s="640" t="str">
        <x:v>Offer price per share</x:v>
      </x:c>
      <x:c r="D12" s="643" t="n">
        <x:f>'Transaction Assumptions'!D9</x:f>
        <x:v>68.965</x:v>
      </x:c>
      <x:c r="E12" s="643"/>
      <x:c r="F12" s="643"/>
      <x:c r="G12" s="643"/>
      <x:c r="H12" s="79"/>
      <x:c r="I12" s="79"/>
      <x:c r="J12" s="79"/>
      <x:c r="K12" s="79"/>
      <x:c r="L12" s="79"/>
      <x:c r="M12" s="79"/>
    </x:row>
    <x:row r="13">
      <x:c r="A13" s="79"/>
      <x:c r="C13" s="640" t="str">
        <x:v>Purchase premium</x:v>
      </x:c>
      <x:c r="D13" s="644" t="n">
        <x:f>'Transaction Assumptions'!D8</x:f>
        <x:v>0.3</x:v>
      </x:c>
      <x:c r="E13" s="644"/>
      <x:c r="F13" s="644"/>
      <x:c r="G13" s="644"/>
      <x:c r="H13" s="79"/>
      <x:c r="I13" s="79"/>
      <x:c r="J13" s="79"/>
      <x:c r="K13" s="79"/>
      <x:c r="L13" s="79"/>
      <x:c r="M13" s="79"/>
    </x:row>
    <x:row r="14">
      <x:c r="A14" s="79"/>
      <x:c r="C14" s="640" t="str">
        <x:v>Equity purchase price</x:v>
      </x:c>
      <x:c r="D14" s="645" t="n">
        <x:f>'Transaction Valuation'!D16</x:f>
        <x:v>8070.6527</x:v>
      </x:c>
      <x:c r="E14" s="645"/>
      <x:c r="F14" s="645"/>
      <x:c r="G14" s="645"/>
      <x:c r="H14" s="79"/>
      <x:c r="I14" s="79"/>
      <x:c r="J14" s="79"/>
      <x:c r="K14" s="79"/>
      <x:c r="L14" s="79"/>
      <x:c r="M14" s="79"/>
    </x:row>
    <x:row r="15">
      <x:c r="A15" s="79"/>
      <x:c r="C15" s="640" t="str">
        <x:v>Transaction enterprise value</x:v>
      </x:c>
      <x:c r="D15" s="645" t="n">
        <x:f>'Transaction Valuation'!D24</x:f>
        <x:v>10281.652699999999</x:v>
      </x:c>
      <x:c r="E15" s="645"/>
      <x:c r="F15" s="645"/>
      <x:c r="G15" s="645"/>
      <x:c r="H15" s="79"/>
      <x:c r="I15" s="79"/>
      <x:c r="J15" s="79"/>
      <x:c r="K15" s="79"/>
      <x:c r="L15" s="79"/>
      <x:c r="M15" s="79"/>
    </x:row>
    <x:row r="16">
      <x:c r="A16" s="79"/>
      <x:c r="C16" s="640" t="str">
        <x:v>Overall model status</x:v>
      </x:c>
      <x:c r="D16" s="646" t="str">
        <x:f>'Checks'!D14</x:f>
        <x:v>All checks OK</x:v>
      </x:c>
      <x:c r="E16" s="646"/>
      <x:c r="F16" s="646"/>
      <x:c r="G16" s="646"/>
      <x:c r="H16" s="79"/>
      <x:c r="I16" s="79"/>
      <x:c r="J16" s="79"/>
      <x:c r="K16" s="79"/>
      <x:c r="L16" s="79"/>
      <x:c r="M16" s="79"/>
    </x:row>
    <x:row r="17">
      <x:c r="A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</x:row>
    <x:row r="18">
      <x:c r="A18" s="79"/>
      <x:c r="C18" s="637" t="str">
        <x:v>Strategic rationale and investment view</x:v>
      </x:c>
      <x:c r="D18" s="638"/>
      <x:c r="E18" s="638"/>
      <x:c r="F18" s="638"/>
      <x:c r="G18" s="638"/>
      <x:c r="H18" s="638"/>
      <x:c r="I18" s="638"/>
      <x:c r="J18" s="638"/>
      <x:c r="K18" s="638"/>
      <x:c r="L18" s="638"/>
      <x:c r="M18" s="639"/>
    </x:row>
    <x:row r="19">
      <x:c r="A19" s="79"/>
      <x:c r="C19" s="79"/>
      <x:c r="D19" s="79"/>
      <x:c r="E19" s="79"/>
      <x:c r="F19" s="79"/>
      <x:c r="G19" s="79"/>
      <x:c r="H19" s="79"/>
      <x:c r="I19" s="79"/>
      <x:c r="J19" s="79"/>
      <x:c r="K19" s="79"/>
      <x:c r="L19" s="79"/>
      <x:c r="M19" s="79"/>
    </x:row>
    <x:row r="20" ht="30" customHeight="1">
      <x:c r="A20" s="79"/>
      <x:c r="C20" s="640" t="str">
        <x:v>Strategic rationale</x:v>
      </x:c>
      <x:c r="D20" s="647" t="str">
        <x:v>Acquire a scaled contract-logistics platform that complements UPS's parcel and supply-chain operations.</x:v>
      </x:c>
      <x:c r="E20" s="647"/>
      <x:c r="F20" s="647"/>
      <x:c r="G20" s="647"/>
      <x:c r="H20" s="640" t="str">
        <x:v>Investment view</x:v>
      </x:c>
      <x:c r="I20" s="647" t="str">
        <x:v>The price is supportable only if the synergy plan and deleveraging assumptions are achieved.</x:v>
      </x:c>
      <x:c r="J20" s="647"/>
      <x:c r="K20" s="647"/>
      <x:c r="L20" s="647"/>
      <x:c r="M20" s="647"/>
    </x:row>
    <x:row r="21" ht="30" customHeight="1">
      <x:c r="A21" s="79"/>
      <x:c r="C21" s="640" t="str">
        <x:v>Network and service fit</x:v>
      </x:c>
      <x:c r="D21" s="647" t="str">
        <x:v>Combine warehouse, fulfilment and technology capabilities with UPS's customer relationships and global network.</x:v>
      </x:c>
      <x:c r="E21" s="647"/>
      <x:c r="F21" s="647"/>
      <x:c r="G21" s="647"/>
      <x:c r="H21" s="640" t="str">
        <x:v>EPS profile</x:v>
      </x:c>
      <x:c r="I21" s="647" t="str">
        <x:v>The selected case is dilutive in FY2026 and FY2027, then accretive in FY2028.</x:v>
      </x:c>
      <x:c r="J21" s="647"/>
      <x:c r="K21" s="647"/>
      <x:c r="L21" s="647"/>
      <x:c r="M21" s="647"/>
    </x:row>
    <x:row r="22" ht="30" customHeight="1">
      <x:c r="A22" s="79"/>
      <x:c r="C22" s="640" t="str">
        <x:v>Synergy opportunity</x:v>
      </x:c>
      <x:c r="D22" s="647" t="str">
        <x:v>Capture procurement, network and corporate-overhead savings, with $265m of selected run-rate cost synergies.</x:v>
      </x:c>
      <x:c r="E22" s="647"/>
      <x:c r="F22" s="647"/>
      <x:c r="G22" s="647"/>
      <x:c r="H22" s="640" t="str">
        <x:v>Economic return</x:v>
      </x:c>
      <x:c r="I22" s="647" t="str">
        <x:v>Base-case incremental ROIC remains below the illustrative 7.5% WACC through FY2028.</x:v>
      </x:c>
      <x:c r="J22" s="647"/>
      <x:c r="K22" s="647"/>
      <x:c r="L22" s="647"/>
      <x:c r="M22" s="647"/>
    </x:row>
    <x:row r="23" ht="30" customHeight="1">
      <x:c r="A23" s="79"/>
      <x:c r="C23" s="640" t="str">
        <x:v>Portfolio benefit</x:v>
      </x:c>
      <x:c r="D23" s="647" t="str">
        <x:v>Increase exposure to outsourced logistics and broaden the earnings mix beyond core parcel delivery.</x:v>
      </x:c>
      <x:c r="E23" s="647"/>
      <x:c r="F23" s="647"/>
      <x:c r="G23" s="647"/>
      <x:c r="H23" s="640" t="str">
        <x:v>Balance sheet</x:v>
      </x:c>
      <x:c r="I23" s="647" t="str">
        <x:v>The all-cash structure increases acquisition debt and makes execution sensitive to interest rates and cash generation.</x:v>
      </x:c>
      <x:c r="J23" s="647"/>
      <x:c r="K23" s="647"/>
      <x:c r="L23" s="647"/>
      <x:c r="M23" s="647"/>
    </x:row>
    <x:row r="24">
      <x:c r="A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</x:row>
    <x:row r="25">
      <x:c r="A25" s="79"/>
      <x:c r="C25" s="637" t="str">
        <x:v>Valuation, funding and ownership</x:v>
      </x:c>
      <x:c r="D25" s="638"/>
      <x:c r="E25" s="638"/>
      <x:c r="F25" s="638"/>
      <x:c r="G25" s="638"/>
      <x:c r="H25" s="638"/>
      <x:c r="I25" s="638"/>
      <x:c r="J25" s="638"/>
      <x:c r="K25" s="638"/>
      <x:c r="L25" s="638"/>
      <x:c r="M25" s="639"/>
    </x:row>
    <x:row r="26">
      <x:c r="A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</x:row>
    <x:row r="27">
      <x:c r="A27" s="79"/>
      <x:c r="C27" s="628" t="str">
        <x:v>Valuation metric</x:v>
      </x:c>
      <x:c r="D27" s="628" t="str">
        <x:v>Value</x:v>
      </x:c>
      <x:c r="E27" s="628" t="str">
        <x:v>Funding / ownership</x:v>
      </x:c>
      <x:c r="F27" s="628" t="str">
        <x:v>Value</x:v>
      </x:c>
      <x:c r="G27" s="79"/>
      <x:c r="H27" s="79"/>
      <x:c r="I27" s="79"/>
      <x:c r="J27" s="79"/>
      <x:c r="K27" s="79"/>
      <x:c r="L27" s="79"/>
      <x:c r="M27" s="79"/>
    </x:row>
    <x:row r="28">
      <x:c r="A28" s="79"/>
      <x:c r="C28" s="640" t="str">
        <x:v>Offer price per share</x:v>
      </x:c>
      <x:c r="D28" s="643" t="n">
        <x:f>'Transaction Assumptions'!D9</x:f>
        <x:v>68.965</x:v>
      </x:c>
      <x:c r="E28" s="640" t="str">
        <x:v>Cash consideration</x:v>
      </x:c>
      <x:c r="F28" s="644" t="n">
        <x:f>'Sources &amp; Uses'!D38</x:f>
        <x:v>1</x:v>
      </x:c>
      <x:c r="G28" s="79"/>
      <x:c r="H28" s="79"/>
      <x:c r="I28" s="79"/>
      <x:c r="J28" s="79"/>
      <x:c r="K28" s="79"/>
      <x:c r="L28" s="79"/>
      <x:c r="M28" s="79"/>
    </x:row>
    <x:row r="29">
      <x:c r="A29" s="79"/>
      <x:c r="C29" s="640" t="str">
        <x:v>Purchase premium</x:v>
      </x:c>
      <x:c r="D29" s="644" t="n">
        <x:f>'Transaction Assumptions'!D8</x:f>
        <x:v>0.3</x:v>
      </x:c>
      <x:c r="E29" s="640" t="str">
        <x:v>Stock consideration</x:v>
      </x:c>
      <x:c r="F29" s="644" t="n">
        <x:f>'Sources &amp; Uses'!D39</x:f>
        <x:v>0</x:v>
      </x:c>
      <x:c r="G29" s="79"/>
      <x:c r="H29" s="79"/>
      <x:c r="I29" s="79"/>
      <x:c r="J29" s="79"/>
      <x:c r="K29" s="79"/>
      <x:c r="L29" s="79"/>
      <x:c r="M29" s="79"/>
    </x:row>
    <x:row r="30">
      <x:c r="A30" s="79"/>
      <x:c r="C30" s="640" t="str">
        <x:v>Equity purchase price</x:v>
      </x:c>
      <x:c r="D30" s="645" t="n">
        <x:f>'Transaction Valuation'!D16</x:f>
        <x:v>8070.6527</x:v>
      </x:c>
      <x:c r="E30" s="640" t="str">
        <x:v>Legacy UPS ownership</x:v>
      </x:c>
      <x:c r="F30" s="644" t="n">
        <x:f>'Sources &amp; Uses'!D43</x:f>
        <x:v>1</x:v>
      </x:c>
      <x:c r="G30" s="79"/>
      <x:c r="H30" s="79"/>
      <x:c r="I30" s="79"/>
      <x:c r="J30" s="79"/>
      <x:c r="K30" s="79"/>
      <x:c r="L30" s="79"/>
      <x:c r="M30" s="79"/>
    </x:row>
    <x:row r="31">
      <x:c r="A31" s="79"/>
      <x:c r="C31" s="640" t="str">
        <x:v>Enterprise value</x:v>
      </x:c>
      <x:c r="D31" s="645" t="n">
        <x:f>'Transaction Valuation'!D24</x:f>
        <x:v>10281.652699999999</x:v>
      </x:c>
      <x:c r="E31" s="640" t="str">
        <x:v>Former GXO ownership</x:v>
      </x:c>
      <x:c r="F31" s="644" t="n">
        <x:f>'Sources &amp; Uses'!D44</x:f>
        <x:v>0</x:v>
      </x:c>
      <x:c r="G31" s="79"/>
      <x:c r="H31" s="79"/>
      <x:c r="I31" s="79"/>
      <x:c r="J31" s="79"/>
      <x:c r="K31" s="79"/>
      <x:c r="L31" s="79"/>
      <x:c r="M31" s="79"/>
    </x:row>
    <x:row r="32">
      <x:c r="A32" s="79"/>
      <x:c r="C32" s="640" t="str">
        <x:v>EV / LTM revenue</x:v>
      </x:c>
      <x:c r="D32" s="648" t="n">
        <x:f>'Transaction Valuation'!E44</x:f>
        <x:v>0.7802134390651084</x:v>
      </x:c>
      <x:c r="E32" s="640" t="str">
        <x:v>UPS cash used</x:v>
      </x:c>
      <x:c r="F32" s="645" t="n">
        <x:f>'Sources &amp; Uses'!D17</x:f>
        <x:v>2000</x:v>
      </x:c>
      <x:c r="G32" s="79"/>
      <x:c r="H32" s="79"/>
      <x:c r="I32" s="79"/>
      <x:c r="J32" s="79"/>
      <x:c r="K32" s="79"/>
      <x:c r="L32" s="79"/>
      <x:c r="M32" s="79"/>
    </x:row>
    <x:row r="33">
      <x:c r="A33" s="79"/>
      <x:c r="C33" s="640" t="str">
        <x:v>EV / LTM adjusted EBITDA</x:v>
      </x:c>
      <x:c r="D33" s="648" t="n">
        <x:f>'Transaction Valuation'!E45</x:f>
        <x:v>11.657202607709749</x:v>
      </x:c>
      <x:c r="E33" s="640" t="str">
        <x:v>New acquisition debt</x:v>
      </x:c>
      <x:c r="F33" s="645" t="n">
        <x:f>'Sources &amp; Uses'!D19</x:f>
        <x:v>8509.075939746834</x:v>
      </x:c>
      <x:c r="G33" s="79"/>
      <x:c r="H33" s="79"/>
      <x:c r="I33" s="79"/>
      <x:c r="J33" s="79"/>
      <x:c r="K33" s="79"/>
      <x:c r="L33" s="79"/>
      <x:c r="M33" s="79"/>
    </x:row>
    <x:row r="34">
      <x:c r="A34" s="79"/>
      <x:c r="C34" s="640" t="str">
        <x:v>EV / FY2026E adjusted EBITDA</x:v>
      </x:c>
      <x:c r="D34" s="648" t="n">
        <x:f>'Transaction Valuation'!G45</x:f>
        <x:v>10.820517842938887</x:v>
      </x:c>
      <x:c r="E34" s="640" t="str">
        <x:v>Total fees</x:v>
      </x:c>
      <x:c r="F34" s="645" t="n">
        <x:f>'Sources &amp; Uses'!D55</x:f>
        <x:v>227.4232397468354</x:v>
      </x:c>
      <x:c r="G34" s="79"/>
      <x:c r="H34" s="79"/>
      <x:c r="I34" s="79"/>
      <x:c r="J34" s="79"/>
      <x:c r="K34" s="79"/>
      <x:c r="L34" s="79"/>
      <x:c r="M34" s="79"/>
    </x:row>
    <x:row r="35">
      <x:c r="A35" s="79"/>
      <x:c r="C35" s="640" t="str">
        <x:v>Goodwill</x:v>
      </x:c>
      <x:c r="D35" s="645" t="n">
        <x:f>'Purchase Accounting'!D27</x:f>
        <x:v>3098.1158876149993</x:v>
      </x:c>
      <x:c r="E35" s="640" t="str">
        <x:v>FY2026 pro forma net leverage</x:v>
      </x:c>
      <x:c r="F35" s="648" t="n">
        <x:f>'Accretion-Dilution'!D51</x:f>
        <x:v>2.127527495169577</x:v>
      </x:c>
      <x:c r="G35" s="79"/>
      <x:c r="H35" s="79"/>
      <x:c r="I35" s="79"/>
      <x:c r="J35" s="79"/>
      <x:c r="K35" s="79"/>
      <x:c r="L35" s="79"/>
      <x:c r="M35" s="79"/>
    </x:row>
    <x:row r="36">
      <x:c r="A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</x:row>
    <x:row r="37">
      <x:c r="A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</x:row>
    <x:row r="38">
      <x:c r="A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</x:row>
    <x:row r="39">
      <x:c r="A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</x:row>
    <x:row r="40">
      <x:c r="A40" s="79"/>
      <x:c r="C40" s="637" t="str">
        <x:v>Earnings, leverage and returns</x:v>
      </x:c>
      <x:c r="D40" s="638"/>
      <x:c r="E40" s="638"/>
      <x:c r="F40" s="638"/>
      <x:c r="G40" s="638"/>
      <x:c r="H40" s="638"/>
      <x:c r="I40" s="638"/>
      <x:c r="J40" s="638"/>
      <x:c r="K40" s="638"/>
      <x:c r="L40" s="638"/>
      <x:c r="M40" s="639"/>
    </x:row>
    <x:row r="41">
      <x:c r="A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</x:row>
    <x:row r="42">
      <x:c r="A42" s="79"/>
      <x:c r="C42" s="628" t="str">
        <x:v>Metric</x:v>
      </x:c>
      <x:c r="D42" s="628" t="str">
        <x:v>FY:26E</x:v>
      </x:c>
      <x:c r="E42" s="628" t="str">
        <x:v>FY:27E</x:v>
      </x:c>
      <x:c r="F42" s="628" t="str">
        <x:v>FY:28E</x:v>
      </x:c>
      <x:c r="G42" s="628" t="str">
        <x:v>Interpretation</x:v>
      </x:c>
      <x:c r="H42" s="79"/>
      <x:c r="I42" s="79"/>
      <x:c r="J42" s="79"/>
      <x:c r="K42" s="79"/>
      <x:c r="L42" s="79"/>
      <x:c r="M42" s="79"/>
    </x:row>
    <x:row r="43">
      <x:c r="A43" s="79"/>
      <x:c r="C43" s="79" t="str">
        <x:v>Pro forma EPS</x:v>
      </x:c>
      <x:c r="D43" s="643" t="n">
        <x:f>'Accretion-Dilution'!D15</x:f>
        <x:v>6.741891938492492</x:v>
      </x:c>
      <x:c r="E43" s="643" t="n">
        <x:f>'Accretion-Dilution'!E15</x:f>
        <x:v>7.269816506407272</x:v>
      </x:c>
      <x:c r="F43" s="643" t="n">
        <x:f>'Accretion-Dilution'!F15</x:f>
        <x:v>7.974994432244796</x:v>
      </x:c>
      <x:c r="G43" s="649" t="str">
        <x:v>Combined EPS</x:v>
      </x:c>
      <x:c r="H43" s="79"/>
      <x:c r="I43" s="79"/>
      <x:c r="J43" s="79"/>
      <x:c r="K43" s="79"/>
      <x:c r="L43" s="79"/>
      <x:c r="M43" s="79"/>
    </x:row>
    <x:row r="44">
      <x:c r="A44" s="79"/>
      <x:c r="C44" s="650" t="str">
        <x:v>EPS accretion / (dilution)</x:v>
      </x:c>
      <x:c r="D44" s="651" t="n">
        <x:f>'Accretion-Dilution'!D17</x:f>
        <x:v>-0.02346893443324094</x:v>
      </x:c>
      <x:c r="E44" s="651" t="n">
        <x:f>'Accretion-Dilution'!E17</x:f>
        <x:v>-0.00833383652045383</x:v>
      </x:c>
      <x:c r="F44" s="651" t="n">
        <x:f>'Accretion-Dilution'!F17</x:f>
        <x:v>0.02043184257214259</x:v>
      </x:c>
      <x:c r="G44" s="652" t="str">
        <x:v>Turns positive in FY2028</x:v>
      </x:c>
      <x:c r="H44" s="79"/>
      <x:c r="I44" s="79"/>
      <x:c r="J44" s="79"/>
      <x:c r="K44" s="79"/>
      <x:c r="L44" s="79"/>
      <x:c r="M44" s="79"/>
    </x:row>
    <x:row r="45">
      <x:c r="A45" s="79"/>
      <x:c r="C45" s="79" t="str">
        <x:v>Pro forma net leverage</x:v>
      </x:c>
      <x:c r="D45" s="648" t="n">
        <x:f>'Accretion-Dilution'!D51</x:f>
        <x:v>2.127527495169577</x:v>
      </x:c>
      <x:c r="E45" s="648" t="n">
        <x:f>'Accretion-Dilution'!E51</x:f>
        <x:v>1.988056652084226</x:v>
      </x:c>
      <x:c r="F45" s="648" t="n">
        <x:f>'Accretion-Dilution'!F51</x:f>
        <x:v>1.8485942517624556</x:v>
      </x:c>
      <x:c r="G45" s="649" t="str">
        <x:v>Deleveraging over forecast</x:v>
      </x:c>
      <x:c r="H45" s="79"/>
      <x:c r="I45" s="79"/>
      <x:c r="J45" s="79"/>
      <x:c r="K45" s="79"/>
      <x:c r="L45" s="79"/>
      <x:c r="M45" s="79"/>
    </x:row>
    <x:row r="46">
      <x:c r="A46" s="79"/>
      <x:c r="C46" s="79" t="str">
        <x:v>Interest coverage</x:v>
      </x:c>
      <x:c r="D46" s="648" t="n">
        <x:f>'Accretion-Dilution'!D52</x:f>
        <x:v>8.982498882596373</x:v>
      </x:c>
      <x:c r="E46" s="648" t="n">
        <x:f>'Accretion-Dilution'!E52</x:f>
        <x:v>9.585432198058292</x:v>
      </x:c>
      <x:c r="F46" s="648" t="n">
        <x:f>'Accretion-Dilution'!F52</x:f>
        <x:v>10.284230153907792</x:v>
      </x:c>
      <x:c r="G46" s="649" t="str">
        <x:v>EBITDA / cash interest</x:v>
      </x:c>
      <x:c r="H46" s="79"/>
      <x:c r="I46" s="79"/>
      <x:c r="J46" s="79"/>
      <x:c r="K46" s="79"/>
      <x:c r="L46" s="79"/>
      <x:c r="M46" s="79"/>
    </x:row>
    <x:row r="47">
      <x:c r="A47" s="79"/>
      <x:c r="C47" s="79" t="str">
        <x:v>Incremental ROIC</x:v>
      </x:c>
      <x:c r="D47" s="644" t="n">
        <x:f>'Accretion-Dilution'!D57</x:f>
        <x:v>0.021293248065096967</x:v>
      </x:c>
      <x:c r="E47" s="644" t="n">
        <x:f>'Accretion-Dilution'!E57</x:f>
        <x:v>0.054951319124502226</x:v>
      </x:c>
      <x:c r="F47" s="644" t="n">
        <x:f>'Accretion-Dilution'!F57</x:f>
        <x:v>0.06532725877523561</x:v>
      </x:c>
      <x:c r="G47" s="649" t="str">
        <x:v>Below WACC through FY2028</x:v>
      </x:c>
      <x:c r="H47" s="79"/>
      <x:c r="I47" s="79"/>
      <x:c r="J47" s="79"/>
      <x:c r="K47" s="79"/>
      <x:c r="L47" s="79"/>
      <x:c r="M47" s="79"/>
    </x:row>
    <x:row r="48">
      <x:c r="A48" s="79"/>
      <x:c r="C48" s="79" t="str">
        <x:v>ROIC less WACC</x:v>
      </x:c>
      <x:c r="D48" s="644" t="n">
        <x:f>'Accretion-Dilution'!D59</x:f>
        <x:v>-0.05370675193490303</x:v>
      </x:c>
      <x:c r="E48" s="644" t="n">
        <x:f>'Accretion-Dilution'!E59</x:f>
        <x:v>-0.02004868087549777</x:v>
      </x:c>
      <x:c r="F48" s="644" t="n">
        <x:f>'Accretion-Dilution'!F59</x:f>
        <x:v>-0.009672741224764386</x:v>
      </x:c>
      <x:c r="G48" s="649" t="str">
        <x:v>Value-creation spread</x:v>
      </x:c>
      <x:c r="H48" s="79"/>
      <x:c r="I48" s="79"/>
      <x:c r="J48" s="79"/>
      <x:c r="K48" s="79"/>
      <x:c r="L48" s="79"/>
      <x:c r="M48" s="79"/>
    </x:row>
    <x:row r="49">
      <x:c r="A49" s="79"/>
      <x:c r="C49" s="79" t="str">
        <x:v>Breakeven pre-tax synergies</x:v>
      </x:c>
      <x:c r="D49" s="645" t="n">
        <x:f>'Accretion-Dilution'!D61</x:f>
        <x:v>224.76826812685607</x:v>
      </x:c>
      <x:c r="E49" s="645" t="n">
        <x:f>'Accretion-Dilution'!E61</x:f>
        <x:v>265.44082005750124</x:v>
      </x:c>
      <x:c r="F49" s="645" t="n">
        <x:f>'Accretion-Dilution'!F61</x:f>
        <x:v>91.56364917612514</x:v>
      </x:c>
      <x:c r="G49" s="649" t="str">
        <x:v>Neutral EPS threshold</x:v>
      </x:c>
      <x:c r="H49" s="79"/>
      <x:c r="I49" s="79"/>
      <x:c r="J49" s="79"/>
      <x:c r="K49" s="79"/>
      <x:c r="L49" s="79"/>
      <x:c r="M49" s="79"/>
    </x:row>
    <x:row r="50">
      <x:c r="A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</x:row>
    <x:row r="51">
      <x:c r="A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</x:row>
    <x:row r="52">
      <x:c r="A52" s="79"/>
      <x:c r="C52" s="637" t="str">
        <x:v>Selected scenario and accretion sensitivity</x:v>
      </x:c>
      <x:c r="D52" s="638"/>
      <x:c r="E52" s="638"/>
      <x:c r="F52" s="638"/>
      <x:c r="G52" s="638"/>
      <x:c r="H52" s="638"/>
      <x:c r="I52" s="638"/>
      <x:c r="J52" s="638"/>
      <x:c r="K52" s="638"/>
      <x:c r="L52" s="638"/>
      <x:c r="M52" s="639"/>
    </x:row>
    <x:row r="53">
      <x:c r="A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</x:row>
    <x:row r="54">
      <x:c r="A54" s="79"/>
      <x:c r="C54" s="628" t="str">
        <x:v>Selected scenario driver</x:v>
      </x:c>
      <x:c r="D54" s="628" t="str">
        <x:v>Value</x:v>
      </x:c>
      <x:c r="E54" s="79"/>
      <x:c r="F54" s="79"/>
      <x:c r="G54" s="79"/>
      <x:c r="H54" s="628" t="str">
        <x:v>FY2027 EPS accretion / (dilution)</x:v>
      </x:c>
      <x:c r="I54" s="634" t="n">
        <x:v>0.2</x:v>
      </x:c>
      <x:c r="J54" s="634" t="n">
        <x:v>0.25</x:v>
      </x:c>
      <x:c r="K54" s="634" t="n">
        <x:v>0.3</x:v>
      </x:c>
      <x:c r="L54" s="634" t="n">
        <x:v>0.35</x:v>
      </x:c>
      <x:c r="M54" s="634" t="n">
        <x:v>0.4</x:v>
      </x:c>
    </x:row>
    <x:row r="55">
      <x:c r="A55" s="79"/>
      <x:c r="C55" s="640" t="str">
        <x:v>Selected case</x:v>
      </x:c>
      <x:c r="D55" s="641" t="str">
        <x:f>'Standalone Forecasts'!D6</x:f>
        <x:v>Base</x:v>
      </x:c>
      <x:c r="E55" s="79"/>
      <x:c r="F55" s="79"/>
      <x:c r="G55" s="79"/>
      <x:c r="H55" s="653" t="n">
        <x:v>150</x:v>
      </x:c>
      <x:c r="I55" s="654" t="n">
        <x:f>'Sensitivities'!K10</x:f>
        <x:v>-0.012629146505290456</x:v>
      </x:c>
      <x:c r="J55" s="654" t="n">
        <x:f>'Sensitivities'!L10</x:f>
        <x:v>-0.01587048957339532</x:v>
      </x:c>
      <x:c r="K55" s="654" t="n">
        <x:f>'Sensitivities'!M10</x:f>
        <x:v>-0.019111832641500293</x:v>
      </x:c>
      <x:c r="L55" s="654" t="n">
        <x:f>'Sensitivities'!N10</x:f>
        <x:v>-0.022353175709605377</x:v>
      </x:c>
      <x:c r="M55" s="654" t="n">
        <x:f>'Sensitivities'!O10</x:f>
        <x:v>-0.02559451877771024</x:v>
      </x:c>
    </x:row>
    <x:row r="56" ht="28" customHeight="1">
      <x:c r="A56" s="79"/>
      <x:c r="C56" s="640" t="str">
        <x:v>Assumed closing</x:v>
      </x:c>
      <x:c r="D56" s="642" t="n">
        <x:f>'Transaction Assumptions'!D31</x:f>
        <x:v>46203</x:v>
      </x:c>
      <x:c r="E56" s="79"/>
      <x:c r="F56" s="79"/>
      <x:c r="G56" s="79"/>
      <x:c r="H56" s="653" t="n">
        <x:v>200</x:v>
      </x:c>
      <x:c r="I56" s="654" t="n">
        <x:f>'Sensitivities'!K11</x:f>
        <x:v>-0.007943061235270221</x:v>
      </x:c>
      <x:c r="J56" s="654" t="n">
        <x:f>'Sensitivities'!L11</x:f>
        <x:v>-0.011184404303375195</x:v>
      </x:c>
      <x:c r="K56" s="654" t="n">
        <x:f>'Sensitivities'!M11</x:f>
        <x:v>-0.014425747371480169</x:v>
      </x:c>
      <x:c r="L56" s="654" t="n">
        <x:f>'Sensitivities'!N11</x:f>
        <x:v>-0.017667090439585142</x:v>
      </x:c>
      <x:c r="M56" s="654" t="n">
        <x:f>'Sensitivities'!O11</x:f>
        <x:v>-0.020908433507690005</x:v>
      </x:c>
    </x:row>
    <x:row r="57" ht="28" customHeight="1">
      <x:c r="A57" s="79"/>
      <x:c r="C57" s="640" t="str">
        <x:v>FY2026 target growth</x:v>
      </x:c>
      <x:c r="D57" s="644" t="n">
        <x:f>'Standalone Forecasts'!G89</x:f>
        <x:v>0.045</x:v>
      </x:c>
      <x:c r="E57" s="79"/>
      <x:c r="F57" s="79"/>
      <x:c r="G57" s="79"/>
      <x:c r="H57" s="653" t="n">
        <x:v>265</x:v>
      </x:c>
      <x:c r="I57" s="654" t="n">
        <x:f>'Sensitivities'!K12</x:f>
        <x:v>-0.0018511503842438826</x:v>
      </x:c>
      <x:c r="J57" s="654" t="n">
        <x:f>'Sensitivities'!L12</x:f>
        <x:v>-0.005092493452348856</x:v>
      </x:c>
      <x:c r="K57" s="654" t="n">
        <x:f>'Sensitivities'!M12</x:f>
        <x:v>-0.00833383652045383</x:v>
      </x:c>
      <x:c r="L57" s="654" t="n">
        <x:f>'Sensitivities'!N12</x:f>
        <x:v>-0.011575179588558915</x:v>
      </x:c>
      <x:c r="M57" s="654" t="n">
        <x:f>'Sensitivities'!O12</x:f>
        <x:v>-0.014816522656663778</x:v>
      </x:c>
    </x:row>
    <x:row r="58" ht="28" customHeight="1">
      <x:c r="A58" s="79"/>
      <x:c r="C58" s="640" t="str">
        <x:v>Full run-rate cost synergies</x:v>
      </x:c>
      <x:c r="D58" s="645" t="n">
        <x:f>'Transaction Assumptions'!D26</x:f>
        <x:v>265</x:v>
      </x:c>
      <x:c r="E58" s="79"/>
      <x:c r="F58" s="79"/>
      <x:c r="G58" s="79"/>
      <x:c r="H58" s="653" t="n">
        <x:v>300</x:v>
      </x:c>
      <x:c r="I58" s="654" t="n">
        <x:f>'Sensitivities'!K13</x:f>
        <x:v>0.0014291093047702486</x:v>
      </x:c>
      <x:c r="J58" s="654" t="n">
        <x:f>'Sensitivities'!L13</x:f>
        <x:v>-0.0018122337633347252</x:v>
      </x:c>
      <x:c r="K58" s="654" t="n">
        <x:f>'Sensitivities'!M13</x:f>
        <x:v>-0.005053576831439699</x:v>
      </x:c>
      <x:c r="L58" s="654" t="n">
        <x:f>'Sensitivities'!N13</x:f>
        <x:v>-0.008294919899544895</x:v>
      </x:c>
      <x:c r="M58" s="654" t="n">
        <x:f>'Sensitivities'!O13</x:f>
        <x:v>-0.011536262967649757</x:v>
      </x:c>
    </x:row>
    <x:row r="59" ht="28" customHeight="1">
      <x:c r="A59" s="79"/>
      <x:c r="C59" s="640" t="str">
        <x:v>New debt interest rate</x:v>
      </x:c>
      <x:c r="D59" s="644" t="n">
        <x:f>'Transaction Assumptions'!D22</x:f>
        <x:v>0.0575</x:v>
      </x:c>
      <x:c r="E59" s="79"/>
      <x:c r="F59" s="79"/>
      <x:c r="G59" s="79"/>
      <x:c r="H59" s="653" t="n">
        <x:v>350</x:v>
      </x:c>
      <x:c r="I59" s="654" t="n">
        <x:f>'Sensitivities'!K14</x:f>
        <x:v>0.006115194574790372</x:v>
      </x:c>
      <x:c r="J59" s="654" t="n">
        <x:f>'Sensitivities'!L14</x:f>
        <x:v>0.0028738515066855097</x:v>
      </x:c>
      <x:c r="K59" s="654" t="n">
        <x:f>'Sensitivities'!M14</x:f>
        <x:v>-0.00036749156141957506</x:v>
      </x:c>
      <x:c r="L59" s="654" t="n">
        <x:f>'Sensitivities'!N14</x:f>
        <x:v>-0.003608834629524549</x:v>
      </x:c>
      <x:c r="M59" s="654" t="n">
        <x:f>'Sensitivities'!O14</x:f>
        <x:v>-0.0068501776976295226</x:v>
      </x:c>
    </x:row>
    <x:row r="60">
      <x:c r="A60" s="79"/>
      <x:c r="C60" s="640" t="str">
        <x:v>Integration cost multiple</x:v>
      </x:c>
      <x:c r="D60" s="648" t="n">
        <x:f>'Transaction Assumptions'!D30</x:f>
        <x:v>1.5</x:v>
      </x:c>
      <x:c r="E60" s="79"/>
      <x:c r="F60" s="79"/>
      <x:c r="G60" s="79"/>
      <x:c r="H60" s="79"/>
      <x:c r="I60" s="79"/>
      <x:c r="J60" s="79"/>
      <x:c r="K60" s="79"/>
      <x:c r="L60" s="79"/>
      <x:c r="M60" s="79"/>
    </x:row>
    <x:row r="61">
      <x:c r="A61" s="79"/>
      <x:c r="C61" s="640" t="str">
        <x:v>FY2028 EPS accretion / (dilution)</x:v>
      </x:c>
      <x:c r="D61" s="644" t="n">
        <x:f>'Accretion-Dilution'!F17</x:f>
        <x:v>0.02043184257214259</x:v>
      </x:c>
      <x:c r="E61" s="79"/>
      <x:c r="F61" s="79"/>
      <x:c r="G61" s="79"/>
      <x:c r="H61" s="655" t="str">
        <x:v>Rows: pre-tax synergies ($m). Columns: offer premium. The selected base case is $265m of run-rate synergies and a 30% premium.</x:v>
      </x:c>
      <x:c r="I61" s="655"/>
      <x:c r="J61" s="655"/>
      <x:c r="K61" s="655"/>
      <x:c r="L61" s="655"/>
      <x:c r="M61" s="655"/>
    </x:row>
    <x:row r="62">
      <x:c r="A62" s="79"/>
      <x:c r="C62" s="640" t="str">
        <x:v>FY2028 net leverage</x:v>
      </x:c>
      <x:c r="D62" s="648" t="n">
        <x:f>'Accretion-Dilution'!F51</x:f>
        <x:v>1.8485942517624556</x:v>
      </x:c>
      <x:c r="E62" s="79"/>
      <x:c r="F62" s="79"/>
      <x:c r="G62" s="79"/>
      <x:c r="H62" s="655"/>
      <x:c r="I62" s="655"/>
      <x:c r="J62" s="655"/>
      <x:c r="K62" s="655"/>
      <x:c r="L62" s="655"/>
      <x:c r="M62" s="655"/>
    </x:row>
    <x:row r="63">
      <x:c r="A63" s="79"/>
      <x:c r="C63" s="640" t="str">
        <x:v>FY2028 ROIC less WACC</x:v>
      </x:c>
      <x:c r="D63" s="644" t="n">
        <x:f>'Accretion-Dilution'!F59</x:f>
        <x:v>-0.009672741224764386</x:v>
      </x:c>
      <x:c r="E63" s="79"/>
      <x:c r="F63" s="79"/>
      <x:c r="G63" s="79"/>
      <x:c r="H63" s="79"/>
      <x:c r="I63" s="79"/>
      <x:c r="J63" s="79"/>
      <x:c r="K63" s="79"/>
      <x:c r="L63" s="79"/>
      <x:c r="M63" s="79"/>
    </x:row>
    <x:row r="64">
      <x:c r="A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</x:row>
    <x:row r="65">
      <x:c r="A65" s="79"/>
      <x:c r="C65" s="637" t="str">
        <x:v>Key risks</x:v>
      </x:c>
      <x:c r="D65" s="638"/>
      <x:c r="E65" s="638"/>
      <x:c r="F65" s="638"/>
      <x:c r="G65" s="638"/>
      <x:c r="H65" s="638"/>
      <x:c r="I65" s="638"/>
      <x:c r="J65" s="638"/>
      <x:c r="K65" s="638"/>
      <x:c r="L65" s="638"/>
      <x:c r="M65" s="639"/>
    </x:row>
    <x:row r="66">
      <x:c r="A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</x:row>
    <x:row r="67" ht="24" customHeight="1">
      <x:c r="A67" s="79"/>
      <x:c r="C67" s="640" t="str">
        <x:v>Synergy execution</x:v>
      </x:c>
      <x:c r="D67" s="647" t="str">
        <x:v>Delayed or incomplete savings would extend EPS dilution and weaken debt repayment capacity.</x:v>
      </x:c>
      <x:c r="E67" s="647"/>
      <x:c r="F67" s="647"/>
      <x:c r="G67" s="647"/>
      <x:c r="H67" s="647"/>
      <x:c r="I67" s="647"/>
      <x:c r="J67" s="647"/>
      <x:c r="K67" s="647"/>
      <x:c r="L67" s="647"/>
      <x:c r="M67" s="647"/>
    </x:row>
    <x:row r="68" ht="24" customHeight="1">
      <x:c r="A68" s="79"/>
      <x:c r="C68" s="640" t="str">
        <x:v>Financing and leverage</x:v>
      </x:c>
      <x:c r="D68" s="647" t="str">
        <x:v>The debt-funded structure is exposed to higher rates, slower cash generation and refinancing risk.</x:v>
      </x:c>
      <x:c r="E68" s="647"/>
      <x:c r="F68" s="647"/>
      <x:c r="G68" s="647"/>
      <x:c r="H68" s="647"/>
      <x:c r="I68" s="647"/>
      <x:c r="J68" s="647"/>
      <x:c r="K68" s="647"/>
      <x:c r="L68" s="647"/>
      <x:c r="M68" s="647"/>
    </x:row>
    <x:row r="69" ht="24" customHeight="1">
      <x:c r="A69" s="79"/>
      <x:c r="C69" s="640" t="str">
        <x:v>Integration and customer retention</x:v>
      </x:c>
      <x:c r="D69" s="647" t="str">
        <x:v>Operational disruption, technology integration and customer churn could reduce forecast revenue and margins.</x:v>
      </x:c>
      <x:c r="E69" s="647"/>
      <x:c r="F69" s="647"/>
      <x:c r="G69" s="647"/>
      <x:c r="H69" s="647"/>
      <x:c r="I69" s="647"/>
      <x:c r="J69" s="647"/>
      <x:c r="K69" s="647"/>
      <x:c r="L69" s="647"/>
      <x:c r="M69" s="647"/>
    </x:row>
    <x:row r="70" ht="24" customHeight="1">
      <x:c r="A70" s="79"/>
      <x:c r="C70" s="640" t="str">
        <x:v>Economic return</x:v>
      </x:c>
      <x:c r="D70" s="647" t="str">
        <x:v>Base-case incremental ROIC remains below the illustrative WACC through FY2028 despite positive EPS accretion.</x:v>
      </x:c>
      <x:c r="E70" s="647"/>
      <x:c r="F70" s="647"/>
      <x:c r="G70" s="647"/>
      <x:c r="H70" s="647"/>
      <x:c r="I70" s="647"/>
      <x:c r="J70" s="647"/>
      <x:c r="K70" s="647"/>
      <x:c r="L70" s="647"/>
      <x:c r="M70" s="647"/>
    </x:row>
    <x:row r="71">
      <x:c r="A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</x:row>
    <x:row r="72">
      <x:c r="A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</x:row>
    <x:row r="73">
      <x:c r="A73" s="79"/>
      <x:c r="C73" s="637" t="str">
        <x:v>Workbook navigation</x:v>
      </x:c>
      <x:c r="D73" s="638"/>
      <x:c r="E73" s="638"/>
      <x:c r="F73" s="638"/>
      <x:c r="G73" s="638"/>
      <x:c r="H73" s="638"/>
      <x:c r="I73" s="638"/>
      <x:c r="J73" s="638"/>
      <x:c r="K73" s="638"/>
      <x:c r="L73" s="638"/>
      <x:c r="M73" s="639"/>
    </x:row>
    <x:row r="74">
      <x:c r="A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</x:row>
    <x:row r="75">
      <x:c r="A75" s="79"/>
      <x:c r="C75" s="628" t="str">
        <x:v>No.</x:v>
      </x:c>
      <x:c r="D75" s="628" t="str">
        <x:v>Worksheet</x:v>
      </x:c>
      <x:c r="E75" s="628" t="str">
        <x:v>Purpose</x:v>
      </x:c>
      <x:c r="F75" s="628" t="str">
        <x:v>No.</x:v>
      </x:c>
      <x:c r="G75" s="628" t="str">
        <x:v>Worksheet</x:v>
      </x:c>
      <x:c r="H75" s="628" t="str">
        <x:v>Purpose</x:v>
      </x:c>
      <x:c r="I75" s="79"/>
      <x:c r="J75" s="79"/>
      <x:c r="K75" s="79"/>
      <x:c r="L75" s="79"/>
      <x:c r="M75" s="79"/>
    </x:row>
    <x:row r="76">
      <x:c r="A76" s="79"/>
      <x:c r="C76" s="79" t="n">
        <x:v>1</x:v>
      </x:c>
      <x:c r="D76" s="656" t="str">
        <x:v>Transaction Assumptions</x:v>
      </x:c>
      <x:c r="E76" s="657" t="str">
        <x:v>Inputs</x:v>
      </x:c>
      <x:c r="F76" s="79" t="n">
        <x:v>8</x:v>
      </x:c>
      <x:c r="G76" s="656" t="str">
        <x:v>Purchase Accounting</x:v>
      </x:c>
      <x:c r="H76" s="657" t="str">
        <x:v>Transaction calculations</x:v>
      </x:c>
      <x:c r="I76" s="79"/>
      <x:c r="J76" s="79"/>
      <x:c r="K76" s="79"/>
      <x:c r="L76" s="79"/>
      <x:c r="M76" s="79"/>
    </x:row>
    <x:row r="77">
      <x:c r="A77" s="79"/>
      <x:c r="C77" s="79" t="n">
        <x:v>2</x:v>
      </x:c>
      <x:c r="D77" s="656" t="str">
        <x:v>Buyer Financials</x:v>
      </x:c>
      <x:c r="E77" s="657" t="str">
        <x:v>Historical financials</x:v>
      </x:c>
      <x:c r="F77" s="79" t="n">
        <x:v>9</x:v>
      </x:c>
      <x:c r="G77" s="656" t="str">
        <x:v>Pro Forma Income Statement</x:v>
      </x:c>
      <x:c r="H77" s="657" t="str">
        <x:v>Transaction calculations</x:v>
      </x:c>
      <x:c r="I77" s="79"/>
      <x:c r="J77" s="79"/>
      <x:c r="K77" s="79"/>
      <x:c r="L77" s="79"/>
      <x:c r="M77" s="79"/>
    </x:row>
    <x:row r="78">
      <x:c r="A78" s="79"/>
      <x:c r="C78" s="79" t="n">
        <x:v>3</x:v>
      </x:c>
      <x:c r="D78" s="656" t="str">
        <x:v>Target Financials</x:v>
      </x:c>
      <x:c r="E78" s="657" t="str">
        <x:v>Historical financials</x:v>
      </x:c>
      <x:c r="F78" s="79" t="n">
        <x:v>10</x:v>
      </x:c>
      <x:c r="G78" s="656" t="str">
        <x:v>Accretion-Dilution</x:v>
      </x:c>
      <x:c r="H78" s="657" t="str">
        <x:v>Transaction calculations</x:v>
      </x:c>
      <x:c r="I78" s="79"/>
      <x:c r="J78" s="79"/>
      <x:c r="K78" s="79"/>
      <x:c r="L78" s="79"/>
      <x:c r="M78" s="79"/>
    </x:row>
    <x:row r="79">
      <x:c r="A79" s="79"/>
      <x:c r="C79" s="79" t="n">
        <x:v>4</x:v>
      </x:c>
      <x:c r="D79" s="656" t="str">
        <x:v>Standalone Forecasts</x:v>
      </x:c>
      <x:c r="E79" s="657" t="str">
        <x:v>Forecasts and scenarios</x:v>
      </x:c>
      <x:c r="F79" s="79" t="n">
        <x:v>11</x:v>
      </x:c>
      <x:c r="G79" s="656" t="str">
        <x:v>Sensitivities</x:v>
      </x:c>
      <x:c r="H79" s="657" t="str">
        <x:v>Sensitivity analysis</x:v>
      </x:c>
      <x:c r="I79" s="79"/>
      <x:c r="J79" s="79"/>
      <x:c r="K79" s="79"/>
      <x:c r="L79" s="79"/>
      <x:c r="M79" s="79"/>
    </x:row>
    <x:row r="80">
      <x:c r="A80" s="79"/>
      <x:c r="C80" s="79" t="n">
        <x:v>5</x:v>
      </x:c>
      <x:c r="D80" s="656" t="str">
        <x:v>Transaction Valuation</x:v>
      </x:c>
      <x:c r="E80" s="657" t="str">
        <x:v>Valuation</x:v>
      </x:c>
      <x:c r="F80" s="79" t="n">
        <x:v>12</x:v>
      </x:c>
      <x:c r="G80" s="656" t="str">
        <x:v>Checks</x:v>
      </x:c>
      <x:c r="H80" s="657" t="str">
        <x:v>Model controls</x:v>
      </x:c>
      <x:c r="I80" s="79"/>
      <x:c r="J80" s="79"/>
      <x:c r="K80" s="79"/>
      <x:c r="L80" s="79"/>
      <x:c r="M80" s="79"/>
    </x:row>
    <x:row r="81">
      <x:c r="A81" s="79"/>
      <x:c r="C81" s="79" t="n">
        <x:v>6</x:v>
      </x:c>
      <x:c r="D81" s="656" t="str">
        <x:v>Sources &amp; Uses</x:v>
      </x:c>
      <x:c r="E81" s="657" t="str">
        <x:v>Funding bridge</x:v>
      </x:c>
      <x:c r="F81" s="79" t="n">
        <x:v>13</x:v>
      </x:c>
      <x:c r="G81" s="656" t="str">
        <x:v>Sources</x:v>
      </x:c>
      <x:c r="H81" s="657" t="str">
        <x:v>Source documentation</x:v>
      </x:c>
      <x:c r="I81" s="79"/>
      <x:c r="J81" s="79"/>
      <x:c r="K81" s="79"/>
      <x:c r="L81" s="79"/>
      <x:c r="M81" s="79"/>
    </x:row>
    <x:row r="82">
      <x:c r="A82" s="79"/>
      <x:c r="C82" s="79" t="n">
        <x:v>7</x:v>
      </x:c>
      <x:c r="D82" s="656" t="str">
        <x:v>Financing</x:v>
      </x:c>
      <x:c r="E82" s="657" t="str">
        <x:v>Debt schedule</x:v>
      </x:c>
      <x:c r="F82" s="79"/>
      <x:c r="G82" s="656"/>
      <x:c r="H82" s="657"/>
      <x:c r="I82" s="79"/>
      <x:c r="J82" s="79"/>
      <x:c r="K82" s="79"/>
      <x:c r="L82" s="79"/>
      <x:c r="M82" s="79"/>
    </x:row>
    <x:row r="83">
      <x:c r="A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</x:row>
    <x:row r="84">
      <x:c r="A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</x:row>
    <x:row r="85">
      <x:c r="A85" s="79"/>
      <x:c r="C85" s="640" t="str">
        <x:v>Model purpose</x:v>
      </x:c>
      <x:c r="D85" s="657" t="str">
        <x:v>MSc Finance application portfolio</x:v>
      </x:c>
      <x:c r="E85" s="79"/>
      <x:c r="F85" s="79"/>
      <x:c r="G85" s="79"/>
      <x:c r="H85" s="79"/>
      <x:c r="I85" s="79"/>
      <x:c r="J85" s="79"/>
      <x:c r="K85" s="79"/>
      <x:c r="L85" s="79"/>
      <x:c r="M85" s="79"/>
    </x:row>
    <x:row r="86">
      <x:c r="A86" s="79"/>
      <x:c r="C86" s="640" t="str">
        <x:v>Model version</x:v>
      </x:c>
      <x:c r="D86" s="657" t="str">
        <x:v>Final build - refined</x:v>
      </x:c>
      <x:c r="E86" s="79"/>
      <x:c r="F86" s="79"/>
      <x:c r="G86" s="79"/>
      <x:c r="H86" s="79"/>
      <x:c r="I86" s="79"/>
      <x:c r="J86" s="79"/>
      <x:c r="K86" s="79"/>
      <x:c r="L86" s="79"/>
      <x:c r="M86" s="79"/>
    </x:row>
    <x:row r="87">
      <x:c r="A87" s="79"/>
      <x:c r="C87" s="640" t="str">
        <x:v>Completion date</x:v>
      </x:c>
      <x:c r="D87" s="658" t="n">
        <x:v>46283</x:v>
      </x:c>
      <x:c r="E87" s="79"/>
      <x:c r="F87" s="79"/>
      <x:c r="G87" s="79"/>
      <x:c r="H87" s="79"/>
      <x:c r="I87" s="79"/>
      <x:c r="J87" s="79"/>
      <x:c r="K87" s="79"/>
      <x:c r="L87" s="79"/>
      <x:c r="M87" s="79"/>
    </x:row>
    <x:row r="88">
      <x:c r="A88" s="79"/>
      <x:c r="C88"/>
      <x:c r="D88"/>
      <x:c r="E88"/>
      <x:c r="F88"/>
      <x:c r="G88"/>
      <x:c r="H88"/>
      <x:c r="I88"/>
      <x:c r="J88"/>
      <x:c r="K88"/>
      <x:c r="L88"/>
      <x:c r="M88"/>
    </x:row>
    <x:row r="89">
      <x:c r="A89" s="79"/>
      <x:c r="C89"/>
      <x:c r="D89"/>
      <x:c r="E89"/>
      <x:c r="F89"/>
      <x:c r="G89"/>
      <x:c r="H89"/>
      <x:c r="I89"/>
      <x:c r="J89"/>
      <x:c r="K89"/>
      <x:c r="L89"/>
      <x:c r="M89"/>
    </x:row>
    <x:row r="90">
      <x:c r="A90" s="79"/>
      <x:c r="C90"/>
      <x:c r="D90"/>
      <x:c r="E90"/>
      <x:c r="F90"/>
      <x:c r="G90"/>
      <x:c r="H90"/>
      <x:c r="I90"/>
      <x:c r="J90"/>
      <x:c r="K90"/>
      <x:c r="L90"/>
      <x:c r="M90"/>
    </x:row>
    <x:row r="91">
      <x:c r="A91" s="79"/>
      <x:c r="C91"/>
      <x:c r="D91"/>
      <x:c r="E91"/>
      <x:c r="F91"/>
      <x:c r="G91"/>
      <x:c r="H91"/>
      <x:c r="I91"/>
      <x:c r="J91"/>
      <x:c r="K91"/>
      <x:c r="L91"/>
      <x:c r="M91"/>
    </x:row>
    <x:row r="92">
      <x:c r="A92" s="79"/>
      <x:c r="C92"/>
      <x:c r="D92"/>
      <x:c r="E92"/>
      <x:c r="F92"/>
      <x:c r="G92"/>
      <x:c r="H92"/>
      <x:c r="I92"/>
      <x:c r="J92"/>
      <x:c r="K92"/>
      <x:c r="L92"/>
      <x:c r="M92"/>
    </x:row>
    <x:row r="93">
      <x:c r="A93" s="79"/>
      <x:c r="C93"/>
      <x:c r="D93"/>
      <x:c r="E93"/>
      <x:c r="F93"/>
      <x:c r="G93"/>
      <x:c r="H93"/>
      <x:c r="I93"/>
      <x:c r="J93"/>
      <x:c r="K93"/>
      <x:c r="L93"/>
      <x:c r="M93"/>
    </x:row>
    <x:row r="94">
      <x:c r="A94" s="79"/>
      <x:c r="C94"/>
      <x:c r="D94"/>
      <x:c r="E94"/>
      <x:c r="F94"/>
      <x:c r="G94"/>
      <x:c r="H94"/>
      <x:c r="I94"/>
      <x:c r="J94"/>
      <x:c r="K94"/>
      <x:c r="L94"/>
      <x:c r="M94"/>
    </x:row>
    <x:row r="95">
      <x:c r="A95" s="79"/>
      <x:c r="C95"/>
      <x:c r="D95"/>
      <x:c r="E95"/>
      <x:c r="F95"/>
      <x:c r="G95"/>
      <x:c r="H95"/>
      <x:c r="I95"/>
      <x:c r="J95"/>
      <x:c r="K95"/>
      <x:c r="L95"/>
      <x:c r="M95"/>
    </x:row>
    <x:row r="96">
      <x:c r="A96" s="79"/>
      <x:c r="C96"/>
      <x:c r="D96"/>
      <x:c r="E96"/>
      <x:c r="F96"/>
      <x:c r="G96"/>
      <x:c r="H96"/>
      <x:c r="I96"/>
      <x:c r="J96"/>
      <x:c r="K96"/>
      <x:c r="L96"/>
      <x:c r="M96"/>
    </x:row>
    <x:row r="97">
      <x:c r="A97" s="79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79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79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79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</x:sheetData>
  <x:mergeCells>
    <x:mergeCell ref="D7:G7"/>
    <x:mergeCell ref="D8:G8"/>
    <x:mergeCell ref="D9:G9"/>
    <x:mergeCell ref="D10:G10"/>
    <x:mergeCell ref="D11:G11"/>
    <x:mergeCell ref="D12:G12"/>
    <x:mergeCell ref="D13:G13"/>
    <x:mergeCell ref="D14:G14"/>
    <x:mergeCell ref="D15:G15"/>
    <x:mergeCell ref="D16:G16"/>
    <x:mergeCell ref="D20:G20"/>
    <x:mergeCell ref="D21:G21"/>
    <x:mergeCell ref="D22:G22"/>
    <x:mergeCell ref="D23:G23"/>
    <x:mergeCell ref="I20:M20"/>
    <x:mergeCell ref="I21:M21"/>
    <x:mergeCell ref="I22:M22"/>
    <x:mergeCell ref="I23:M23"/>
    <x:mergeCell ref="H61:M62"/>
    <x:mergeCell ref="D67:M67"/>
    <x:mergeCell ref="D68:M68"/>
    <x:mergeCell ref="D69:M69"/>
    <x:mergeCell ref="D70:M70"/>
  </x:mergeCells>
  <x:conditionalFormatting sqref="I55:M5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00b0cc336fe84927"/>
</x:worksheet>
</file>

<file path=xl/worksheets/sheet2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3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Transaction assumptions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Base-case transaction terms and operating assumptions | Yellow cells are editable hardcodes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17" t="str">
        <x:v>Assumption</x:v>
      </x:c>
      <x:c r="D6" s="17" t="str">
        <x:v>Base case</x:v>
      </x:c>
      <x:c r="E6" s="17" t="str">
        <x:v>Units</x:v>
      </x:c>
      <x:c r="F6" s="17" t="str">
        <x:v>Status</x:v>
      </x:c>
      <x:c r="G6" s="17" t="str">
        <x:v>Source ID</x:v>
      </x:c>
      <x:c r="H6" s="4"/>
      <x:c r="I6" s="4"/>
      <x:c r="J6" s="4"/>
      <x:c r="K6" s="4"/>
      <x:c r="L6" s="4"/>
      <x:c r="M6" s="4"/>
    </x:row>
    <x:row r="7">
      <x:c r="A7" s="79"/>
      <x:c r="C7" s="4" t="str">
        <x:v>Unaffected GXO share price</x:v>
      </x:c>
      <x:c r="D7" s="25" t="n">
        <x:v>53.05</x:v>
      </x:c>
      <x:c r="E7" s="4" t="str">
        <x:v>$ / share</x:v>
      </x:c>
      <x:c r="F7" s="4" t="str">
        <x:v>Sourced</x:v>
      </x:c>
      <x:c r="G7" s="4" t="str">
        <x:v>S03</x:v>
      </x:c>
      <x:c r="H7" s="4"/>
      <x:c r="I7" s="4"/>
      <x:c r="J7" s="4"/>
      <x:c r="K7" s="4"/>
      <x:c r="L7" s="4"/>
      <x:c r="M7" s="4"/>
    </x:row>
    <x:row r="8">
      <x:c r="A8" s="79"/>
      <x:c r="C8" s="4" t="str">
        <x:v>Purchase premium</x:v>
      </x:c>
      <x:c r="D8" s="30" t="n">
        <x:v>0.3</x:v>
      </x:c>
      <x:c r="E8" s="4" t="str">
        <x:v>%</x:v>
      </x:c>
      <x:c r="F8" s="4" t="str">
        <x:v>Assumed</x:v>
      </x:c>
      <x:c r="G8" s="4" t="str">
        <x:v>A01</x:v>
      </x:c>
      <x:c r="H8" s="4"/>
      <x:c r="I8" s="4"/>
      <x:c r="J8" s="4"/>
      <x:c r="K8" s="4"/>
      <x:c r="L8" s="4"/>
      <x:c r="M8" s="4"/>
    </x:row>
    <x:row r="9">
      <x:c r="A9" s="79"/>
      <x:c r="C9" s="4" t="str">
        <x:v>Offer price</x:v>
      </x:c>
      <x:c r="D9" s="27" t="n">
        <x:f>D7*(1+D8)</x:f>
        <x:v>68.965</x:v>
      </x:c>
      <x:c r="E9" s="4" t="str">
        <x:v>$ / share</x:v>
      </x:c>
      <x:c r="F9" s="4" t="str">
        <x:v>Calculated</x:v>
      </x:c>
      <x:c r="G9" s="4" t="str"/>
      <x:c r="H9" s="4"/>
      <x:c r="I9" s="4"/>
      <x:c r="J9" s="4"/>
      <x:c r="K9" s="4"/>
      <x:c r="L9" s="4"/>
      <x:c r="M9" s="4"/>
    </x:row>
    <x:row r="10">
      <x:c r="A10" s="79"/>
      <x:c r="C10" s="4" t="str">
        <x:v>GXO basic shares outstanding</x:v>
      </x:c>
      <x:c r="D10" s="28" t="n">
        <x:v>114.512</x:v>
      </x:c>
      <x:c r="E10" s="4" t="str">
        <x:v>m shares</x:v>
      </x:c>
      <x:c r="F10" s="4" t="str">
        <x:v>Sourced</x:v>
      </x:c>
      <x:c r="G10" s="4" t="str">
        <x:v>S04</x:v>
      </x:c>
      <x:c r="H10" s="4"/>
      <x:c r="I10" s="4"/>
      <x:c r="J10" s="4"/>
      <x:c r="K10" s="4"/>
      <x:c r="L10" s="4"/>
      <x:c r="M10" s="4"/>
    </x:row>
    <x:row r="11">
      <x:c r="A11" s="79"/>
      <x:c r="C11" s="4" t="str">
        <x:v>Unvested RSUs</x:v>
      </x:c>
      <x:c r="D11" s="29" t="n">
        <x:v>1.768</x:v>
      </x:c>
      <x:c r="E11" s="4" t="str">
        <x:v>m shares</x:v>
      </x:c>
      <x:c r="F11" s="4" t="str">
        <x:v>Sourced</x:v>
      </x:c>
      <x:c r="G11" s="4" t="str">
        <x:v>S01</x:v>
      </x:c>
      <x:c r="H11" s="4"/>
      <x:c r="I11" s="4"/>
      <x:c r="J11" s="4"/>
      <x:c r="K11" s="4"/>
      <x:c r="L11" s="4"/>
      <x:c r="M11" s="4"/>
    </x:row>
    <x:row r="12">
      <x:c r="A12" s="79"/>
      <x:c r="C12" s="4" t="str">
        <x:v>PSUs at target</x:v>
      </x:c>
      <x:c r="D12" s="29" t="n">
        <x:v>0.704</x:v>
      </x:c>
      <x:c r="E12" s="4" t="str">
        <x:v>m shares</x:v>
      </x:c>
      <x:c r="F12" s="4" t="str">
        <x:v>Sourced</x:v>
      </x:c>
      <x:c r="G12" s="4" t="str">
        <x:v>S01</x:v>
      </x:c>
      <x:c r="H12" s="4"/>
      <x:c r="I12" s="4"/>
      <x:c r="J12" s="4"/>
      <x:c r="K12" s="4"/>
      <x:c r="L12" s="4"/>
      <x:c r="M12" s="4"/>
    </x:row>
    <x:row r="13">
      <x:c r="A13" s="79"/>
      <x:c r="C13" s="4" t="str">
        <x:v>Options outstanding</x:v>
      </x:c>
      <x:c r="D13" s="29" t="n">
        <x:v>0.732</x:v>
      </x:c>
      <x:c r="E13" s="4" t="str">
        <x:v>m shares</x:v>
      </x:c>
      <x:c r="F13" s="4" t="str">
        <x:v>Sourced</x:v>
      </x:c>
      <x:c r="G13" s="4" t="str">
        <x:v>S01</x:v>
      </x:c>
      <x:c r="H13" s="4"/>
      <x:c r="I13" s="4"/>
      <x:c r="J13" s="4"/>
      <x:c r="K13" s="4"/>
      <x:c r="L13" s="4"/>
      <x:c r="M13" s="4"/>
    </x:row>
    <x:row r="14">
      <x:c r="A14" s="79"/>
      <x:c r="C14" s="4" t="str">
        <x:v>Option exercise price</x:v>
      </x:c>
      <x:c r="D14" s="26" t="n">
        <x:v>65.07</x:v>
      </x:c>
      <x:c r="E14" s="4" t="str">
        <x:v>$ / share</x:v>
      </x:c>
      <x:c r="F14" s="4" t="str">
        <x:v>Sourced</x:v>
      </x:c>
      <x:c r="G14" s="4" t="str">
        <x:v>S01</x:v>
      </x:c>
      <x:c r="H14" s="4"/>
      <x:c r="I14" s="4"/>
      <x:c r="J14" s="4"/>
      <x:c r="K14" s="4"/>
      <x:c r="L14" s="4"/>
      <x:c r="M14" s="4"/>
    </x:row>
    <x:row r="15">
      <x:c r="A15" s="79"/>
      <x:c r="C15" s="4" t="str">
        <x:v>Incremental options</x:v>
      </x:c>
      <x:c r="D15" s="11" t="n">
        <x:f>D13*MAX(D9-D14,0)/D9</x:f>
        <x:v>0.04134184006380059</x:v>
      </x:c>
      <x:c r="E15" s="4" t="str">
        <x:v>m shares</x:v>
      </x:c>
      <x:c r="F15" s="4" t="str">
        <x:v>Calculated</x:v>
      </x:c>
      <x:c r="G15" s="4" t="str"/>
      <x:c r="H15" s="4"/>
      <x:c r="I15" s="4"/>
      <x:c r="J15" s="4"/>
      <x:c r="K15" s="4"/>
      <x:c r="L15" s="4"/>
      <x:c r="M15" s="4"/>
    </x:row>
    <x:row r="16">
      <x:c r="A16" s="79"/>
      <x:c r="C16" s="4" t="str">
        <x:v>Fully diluted shares</x:v>
      </x:c>
      <x:c r="D16" s="11" t="n">
        <x:f>SUM(D10:D12)+D15</x:f>
        <x:v>117.02534184006379</x:v>
      </x:c>
      <x:c r="E16" s="4" t="str">
        <x:v>m shares</x:v>
      </x:c>
      <x:c r="F16" s="4" t="str">
        <x:v>Calculated</x:v>
      </x:c>
      <x:c r="G16" s="4" t="str"/>
      <x:c r="H16" s="4"/>
      <x:c r="I16" s="4"/>
      <x:c r="J16" s="4"/>
      <x:c r="K16" s="4"/>
      <x:c r="L16" s="4"/>
      <x:c r="M16" s="4"/>
    </x:row>
    <x:row r="17">
      <x:c r="A17" s="79"/>
      <x:c r="C17" s="4" t="str">
        <x:v>GXO cash acquired</x:v>
      </x:c>
      <x:c r="D17" s="28" t="n">
        <x:v>854</x:v>
      </x:c>
      <x:c r="E17" s="4" t="str">
        <x:v>$m</x:v>
      </x:c>
      <x:c r="F17" s="4" t="str">
        <x:v>Sourced</x:v>
      </x:c>
      <x:c r="G17" s="4" t="str">
        <x:v>S01</x:v>
      </x:c>
      <x:c r="H17" s="4"/>
      <x:c r="I17" s="4"/>
      <x:c r="J17" s="4"/>
      <x:c r="K17" s="4"/>
      <x:c r="L17" s="4"/>
      <x:c r="M17" s="4"/>
    </x:row>
    <x:row r="18">
      <x:c r="A18" s="79"/>
      <x:c r="C18" s="4" t="str">
        <x:v>GXO debt refinanced</x:v>
      </x:c>
      <x:c r="D18" s="29" t="n">
        <x:v>3065</x:v>
      </x:c>
      <x:c r="E18" s="4" t="str">
        <x:v>$m</x:v>
      </x:c>
      <x:c r="F18" s="4" t="str">
        <x:v>Sourced</x:v>
      </x:c>
      <x:c r="G18" s="4" t="str">
        <x:v>S01</x:v>
      </x:c>
      <x:c r="H18" s="4"/>
      <x:c r="I18" s="4"/>
      <x:c r="J18" s="4"/>
      <x:c r="K18" s="4"/>
      <x:c r="L18" s="4"/>
      <x:c r="M18" s="4"/>
    </x:row>
    <x:row r="19">
      <x:c r="A19" s="79"/>
      <x:c r="C19" s="4" t="str">
        <x:v>UPS cash used</x:v>
      </x:c>
      <x:c r="D19" s="29" t="n">
        <x:v>2000</x:v>
      </x:c>
      <x:c r="E19" s="4" t="str">
        <x:v>$m</x:v>
      </x:c>
      <x:c r="F19" s="4" t="str">
        <x:v>Assumed</x:v>
      </x:c>
      <x:c r="G19" s="4" t="str">
        <x:v>A02</x:v>
      </x:c>
      <x:c r="H19" s="4"/>
      <x:c r="I19" s="4"/>
      <x:c r="J19" s="4"/>
      <x:c r="K19" s="4"/>
      <x:c r="L19" s="4"/>
      <x:c r="M19" s="4"/>
    </x:row>
    <x:row r="20">
      <x:c r="A20" s="79"/>
      <x:c r="C20" s="4" t="str">
        <x:v>Transaction fee rate</x:v>
      </x:c>
      <x:c r="D20" s="31" t="n">
        <x:v>0.015</x:v>
      </x:c>
      <x:c r="E20" s="4" t="str">
        <x:v>% equity value</x:v>
      </x:c>
      <x:c r="F20" s="4" t="str">
        <x:v>Assumed</x:v>
      </x:c>
      <x:c r="G20" s="4" t="str">
        <x:v>A03</x:v>
      </x:c>
      <x:c r="H20" s="4"/>
      <x:c r="I20" s="4"/>
      <x:c r="J20" s="4"/>
      <x:c r="K20" s="4"/>
      <x:c r="L20" s="4"/>
      <x:c r="M20" s="4"/>
    </x:row>
    <x:row r="21">
      <x:c r="A21" s="79"/>
      <x:c r="C21" s="4" t="str">
        <x:v>Financing fee rate</x:v>
      </x:c>
      <x:c r="D21" s="31" t="n">
        <x:v>0.0125</x:v>
      </x:c>
      <x:c r="E21" s="4" t="str">
        <x:v>% new debt</x:v>
      </x:c>
      <x:c r="F21" s="4" t="str">
        <x:v>Assumed</x:v>
      </x:c>
      <x:c r="G21" s="4" t="str">
        <x:v>A04</x:v>
      </x:c>
      <x:c r="H21" s="4"/>
      <x:c r="I21" s="4"/>
      <x:c r="J21" s="4"/>
      <x:c r="K21" s="4"/>
      <x:c r="L21" s="4"/>
      <x:c r="M21" s="4"/>
    </x:row>
    <x:row r="22">
      <x:c r="A22" s="79"/>
      <x:c r="C22" s="4" t="str">
        <x:v>New debt interest rate</x:v>
      </x:c>
      <x:c r="D22" s="591" t="n">
        <x:f>G89</x:f>
        <x:v>0.0575</x:v>
      </x:c>
      <x:c r="E22" s="4" t="str">
        <x:v>%</x:v>
      </x:c>
      <x:c r="F22" s="4" t="str">
        <x:v>Scenario selected</x:v>
      </x:c>
      <x:c r="G22" s="4" t="str">
        <x:v>A05</x:v>
      </x:c>
      <x:c r="H22" s="4"/>
      <x:c r="I22" s="4"/>
      <x:c r="J22" s="4"/>
      <x:c r="K22" s="4"/>
      <x:c r="L22" s="4"/>
      <x:c r="M22" s="4"/>
    </x:row>
    <x:row r="23">
      <x:c r="A23" s="79"/>
      <x:c r="C23" s="4" t="str">
        <x:v>Lost cash yield</x:v>
      </x:c>
      <x:c r="D23" s="31" t="n">
        <x:v>0.04</x:v>
      </x:c>
      <x:c r="E23" s="4" t="str">
        <x:v>%</x:v>
      </x:c>
      <x:c r="F23" s="4"/>
      <x:c r="G23" s="4" t="str">
        <x:v>A06</x:v>
      </x:c>
      <x:c r="H23" s="4"/>
      <x:c r="I23" s="4"/>
      <x:c r="J23" s="4"/>
      <x:c r="K23" s="4"/>
      <x:c r="L23" s="4"/>
      <x:c r="M23" s="4"/>
    </x:row>
    <x:row r="24">
      <x:c r="A24" s="79"/>
      <x:c r="C24" s="4" t="str">
        <x:v>Effective tax rate</x:v>
      </x:c>
      <x:c r="D24" s="31" t="n">
        <x:v>0.23</x:v>
      </x:c>
      <x:c r="E24" s="4" t="str">
        <x:v>%</x:v>
      </x:c>
      <x:c r="F24" s="4"/>
      <x:c r="G24" s="4" t="str">
        <x:v>A07</x:v>
      </x:c>
      <x:c r="H24" s="4"/>
      <x:c r="I24" s="4"/>
      <x:c r="J24" s="4"/>
      <x:c r="K24" s="4"/>
      <x:c r="L24" s="4"/>
      <x:c r="M24" s="4"/>
    </x:row>
    <x:row r="25">
      <x:c r="A25" s="79"/>
      <x:c r="C25" s="4" t="str">
        <x:v>Annual mandatory amortisation</x:v>
      </x:c>
      <x:c r="D25" s="31" t="n">
        <x:v>0.05</x:v>
      </x:c>
      <x:c r="E25" s="4" t="str">
        <x:v>% original debt</x:v>
      </x:c>
      <x:c r="F25" s="4"/>
      <x:c r="G25" s="4" t="str">
        <x:v>A08</x:v>
      </x:c>
      <x:c r="H25" s="4"/>
      <x:c r="I25" s="4"/>
      <x:c r="J25" s="4"/>
      <x:c r="K25" s="4"/>
      <x:c r="L25" s="4"/>
      <x:c r="M25" s="4"/>
    </x:row>
    <x:row r="26">
      <x:c r="A26" s="79"/>
      <x:c r="C26" s="4" t="str">
        <x:v>Full run-rate cost synergies</x:v>
      </x:c>
      <x:c r="D26" s="593" t="n">
        <x:f>G85</x:f>
        <x:v>265</x:v>
      </x:c>
      <x:c r="E26" s="4" t="str">
        <x:v>$m</x:v>
      </x:c>
      <x:c r="F26" s="4" t="str">
        <x:v>Scenario selected</x:v>
      </x:c>
      <x:c r="G26" s="4" t="str">
        <x:v>A09</x:v>
      </x:c>
      <x:c r="H26" s="4"/>
      <x:c r="I26" s="4"/>
      <x:c r="J26" s="4"/>
      <x:c r="K26" s="4"/>
      <x:c r="L26" s="4"/>
      <x:c r="M26" s="4"/>
    </x:row>
    <x:row r="27">
      <x:c r="A27" s="79"/>
      <x:c r="C27" s="4" t="str">
        <x:v>2026 synergy phase-in</x:v>
      </x:c>
      <x:c r="D27" s="591" t="n">
        <x:f>G86</x:f>
        <x:v>0.35</x:v>
      </x:c>
      <x:c r="E27" s="4" t="str">
        <x:v>%</x:v>
      </x:c>
      <x:c r="F27" s="4" t="str">
        <x:v>Scenario selected</x:v>
      </x:c>
      <x:c r="G27" s="4" t="str">
        <x:v>A10</x:v>
      </x:c>
      <x:c r="H27" s="4"/>
      <x:c r="I27" s="4"/>
      <x:c r="J27" s="4"/>
      <x:c r="K27" s="4"/>
      <x:c r="L27" s="4"/>
      <x:c r="M27" s="4"/>
    </x:row>
    <x:row r="28">
      <x:c r="A28" s="79"/>
      <x:c r="C28" s="4" t="str">
        <x:v>2027 synergy phase-in</x:v>
      </x:c>
      <x:c r="D28" s="591" t="n">
        <x:f>G87</x:f>
        <x:v>0.75</x:v>
      </x:c>
      <x:c r="E28" s="4" t="str">
        <x:v>%</x:v>
      </x:c>
      <x:c r="F28" s="4" t="str">
        <x:v>Scenario selected</x:v>
      </x:c>
      <x:c r="G28" s="4" t="str">
        <x:v>A11</x:v>
      </x:c>
      <x:c r="H28" s="4"/>
      <x:c r="I28" s="4"/>
      <x:c r="J28" s="4"/>
      <x:c r="K28" s="4"/>
      <x:c r="L28" s="4"/>
      <x:c r="M28" s="4"/>
    </x:row>
    <x:row r="29">
      <x:c r="A29" s="79"/>
      <x:c r="C29" s="4" t="str">
        <x:v>2028 synergy phase-in</x:v>
      </x:c>
      <x:c r="D29" s="591" t="n">
        <x:f>G88</x:f>
        <x:v>1</x:v>
      </x:c>
      <x:c r="E29" s="4" t="str">
        <x:v>%</x:v>
      </x:c>
      <x:c r="F29" s="4" t="str">
        <x:v>Scenario selected</x:v>
      </x:c>
      <x:c r="G29" s="4" t="str">
        <x:v>A12</x:v>
      </x:c>
      <x:c r="H29" s="4"/>
      <x:c r="I29" s="4"/>
      <x:c r="J29" s="4"/>
      <x:c r="K29" s="4"/>
      <x:c r="L29" s="4"/>
      <x:c r="M29" s="4"/>
    </x:row>
    <x:row r="30">
      <x:c r="A30" s="79"/>
      <x:c r="C30" s="4" t="str">
        <x:v>Integration cost multiple</x:v>
      </x:c>
      <x:c r="D30" s="595" t="n">
        <x:f>G90</x:f>
        <x:v>1.5</x:v>
      </x:c>
      <x:c r="E30" s="4" t="str">
        <x:v>x synergies</x:v>
      </x:c>
      <x:c r="F30" s="4" t="str">
        <x:v>Scenario selected</x:v>
      </x:c>
      <x:c r="G30" s="4" t="str">
        <x:v>A13</x:v>
      </x:c>
      <x:c r="H30" s="4"/>
      <x:c r="I30" s="4"/>
      <x:c r="J30" s="4"/>
      <x:c r="K30" s="4"/>
      <x:c r="L30" s="4"/>
      <x:c r="M30" s="4"/>
    </x:row>
    <x:row r="31">
      <x:c r="A31" s="79"/>
      <x:c r="C31" s="4" t="str">
        <x:v>Assumed closing date</x:v>
      </x:c>
      <x:c r="D31" s="597" t="n">
        <x:f>G91</x:f>
        <x:v>46203</x:v>
      </x:c>
      <x:c r="E31" s="4" t="str">
        <x:v>date</x:v>
      </x:c>
      <x:c r="F31" s="4" t="str">
        <x:v>Scenario selected</x:v>
      </x:c>
      <x:c r="G31" s="4" t="str">
        <x:v>A14</x:v>
      </x:c>
      <x:c r="H31" s="4"/>
      <x:c r="I31" s="4"/>
      <x:c r="J31" s="4"/>
      <x:c r="K31" s="4"/>
      <x:c r="L31" s="4"/>
      <x:c r="M31" s="4"/>
    </x:row>
    <x:row r="32">
      <x:c r="A32" s="79"/>
      <x:c r="C32" s="313" t="str">
        <x:v>Stock consideration</x:v>
      </x:c>
      <x:c r="D32" s="315" t="n">
        <x:v>0</x:v>
      </x:c>
      <x:c r="E32" s="313" t="str">
        <x:v>% equity purchase price</x:v>
      </x:c>
      <x:c r="F32" s="313" t="str">
        <x:v>Assumed</x:v>
      </x:c>
      <x:c r="G32" s="313" t="str">
        <x:v>A15</x:v>
      </x:c>
      <x:c r="H32" s="4"/>
      <x:c r="I32" s="4"/>
      <x:c r="J32" s="4"/>
      <x:c r="K32" s="4"/>
      <x:c r="L32" s="4"/>
      <x:c r="M32" s="4"/>
    </x:row>
    <x:row r="33">
      <x:c r="A33" s="79"/>
      <x:c r="C33" s="313" t="str">
        <x:v>UPS reference share price</x:v>
      </x:c>
      <x:c r="D33" s="316" t="n">
        <x:v>99.56</x:v>
      </x:c>
      <x:c r="E33" s="313" t="str">
        <x:v>$ / share</x:v>
      </x:c>
      <x:c r="F33" s="313" t="str">
        <x:v>Sourced</x:v>
      </x:c>
      <x:c r="G33" s="313" t="str">
        <x:v>S05</x:v>
      </x:c>
      <x:c r="H33" s="4"/>
      <x:c r="I33" s="4"/>
      <x:c r="J33" s="4"/>
      <x:c r="K33" s="4"/>
      <x:c r="L33" s="4"/>
      <x:c r="M33" s="4"/>
    </x:row>
    <x:row r="34">
      <x:c r="A34" s="79"/>
      <x:c r="C34"/>
      <x:c r="D34"/>
      <x:c r="E34"/>
      <x:c r="F34"/>
      <x:c r="G34"/>
      <x:c r="H34" s="4"/>
      <x:c r="I34" s="4"/>
      <x:c r="J34" s="4"/>
      <x:c r="K34" s="4"/>
      <x:c r="L34" s="4"/>
      <x:c r="M34" s="4"/>
    </x:row>
    <x:row r="35">
      <x:c r="A35" s="79"/>
      <x:c r="C35"/>
      <x:c r="D35"/>
      <x:c r="E35"/>
      <x:c r="F35"/>
      <x:c r="G35"/>
      <x:c r="H35" s="4"/>
      <x:c r="I35" s="4"/>
      <x:c r="J35" s="4"/>
      <x:c r="K35" s="4"/>
      <x:c r="L35" s="4"/>
      <x:c r="M35" s="4"/>
    </x:row>
    <x:row r="36">
      <x:c r="A36" s="79"/>
      <x:c r="C36" s="298" t="str">
        <x:v>Formatting legend</x:v>
      </x:c>
      <x:c r="D36" s="317" t="str">
        <x:v>Blue font + yellow fill</x:v>
      </x:c>
      <x:c r="E36" s="252" t="str">
        <x:v>User input</x:v>
      </x:c>
      <x:c r="F36"/>
      <x:c r="G36"/>
      <x:c r="H36" s="4"/>
      <x:c r="I36" s="4"/>
      <x:c r="J36" s="4"/>
      <x:c r="K36" s="4"/>
      <x:c r="L36" s="4"/>
      <x:c r="M36" s="4"/>
    </x:row>
    <x:row r="37">
      <x:c r="A37" s="79"/>
      <x:c r="C37"/>
      <x:c r="D37" s="318" t="str">
        <x:v>Green font</x:v>
      </x:c>
      <x:c r="E37" s="252" t="str">
        <x:v>Linked from another schedule</x:v>
      </x:c>
      <x:c r="F37"/>
      <x:c r="G37"/>
      <x:c r="H37" s="4"/>
      <x:c r="I37" s="4"/>
      <x:c r="J37" s="4"/>
      <x:c r="K37" s="4"/>
      <x:c r="L37" s="4"/>
      <x:c r="M37" s="4"/>
    </x:row>
    <x:row r="38">
      <x:c r="A38" s="79"/>
      <x:c r="C38"/>
      <x:c r="D38" s="132" t="str">
        <x:v>Black font</x:v>
      </x:c>
      <x:c r="E38" s="252" t="str">
        <x:v>Calculated formula</x:v>
      </x:c>
      <x:c r="F38"/>
      <x:c r="G38"/>
      <x:c r="H38" s="4"/>
      <x:c r="I38" s="4"/>
      <x:c r="J38" s="4"/>
      <x:c r="K38" s="4"/>
      <x:c r="L38" s="4"/>
      <x:c r="M38" s="4"/>
    </x:row>
    <x:row r="39">
      <x:c r="A39" s="79"/>
      <x:c r="C39"/>
      <x:c r="D39" s="319" t="str">
        <x:v>Red font</x:v>
      </x:c>
      <x:c r="E39" s="252" t="str">
        <x:v>Warning / failed check</x:v>
      </x:c>
      <x:c r="F39"/>
      <x:c r="G39"/>
      <x:c r="H39" s="4"/>
      <x:c r="I39" s="4"/>
      <x:c r="J39" s="4"/>
      <x:c r="K39" s="4"/>
      <x:c r="L39" s="4"/>
      <x:c r="M39" s="4"/>
    </x:row>
    <x:row r="40">
      <x:c r="A40" s="79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</x:row>
    <x:row r="41">
      <x:c r="A41" s="79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</x:row>
    <x:row r="42">
      <x:c r="A42" s="79"/>
      <x:c r="C42" s="361" t="str">
        <x:v>Financing assumptions</x:v>
      </x:c>
      <x:c r="D42" s="361"/>
      <x:c r="E42" s="361"/>
      <x:c r="F42" s="361"/>
      <x:c r="G42" s="361"/>
      <x:c r="H42" s="4"/>
      <x:c r="I42" s="4"/>
      <x:c r="J42" s="4"/>
      <x:c r="K42" s="4"/>
      <x:c r="L42" s="4"/>
      <x:c r="M42" s="4"/>
    </x:row>
    <x:row r="43">
      <x:c r="A43" s="79"/>
      <x:c r="C43"/>
      <x:c r="D43"/>
      <x:c r="E43"/>
      <x:c r="F43"/>
      <x:c r="G43"/>
      <x:c r="H43" s="4"/>
      <x:c r="I43" s="4"/>
      <x:c r="J43" s="4"/>
      <x:c r="K43" s="4"/>
      <x:c r="L43" s="4"/>
      <x:c r="M43" s="4"/>
    </x:row>
    <x:row r="44">
      <x:c r="A44" s="79"/>
      <x:c r="C44" s="367" t="str">
        <x:v>Assumption</x:v>
      </x:c>
      <x:c r="D44" s="367" t="str">
        <x:v>Base case</x:v>
      </x:c>
      <x:c r="E44" s="367" t="str">
        <x:v>Units</x:v>
      </x:c>
      <x:c r="F44" s="367" t="str">
        <x:v>Status</x:v>
      </x:c>
      <x:c r="G44" s="367" t="str">
        <x:v>Source ID</x:v>
      </x:c>
      <x:c r="H44" s="4"/>
      <x:c r="I44" s="4"/>
      <x:c r="J44" s="4"/>
      <x:c r="K44" s="4"/>
      <x:c r="L44" s="4"/>
      <x:c r="M44" s="4"/>
    </x:row>
    <x:row r="45">
      <x:c r="A45" s="79"/>
      <x:c r="C45" s="313" t="str">
        <x:v>Term loan A share</x:v>
      </x:c>
      <x:c r="D45" s="370" t="n">
        <x:v>0.6</x:v>
      </x:c>
      <x:c r="E45" s="313" t="str">
        <x:v>% acquisition debt</x:v>
      </x:c>
      <x:c r="F45" s="313" t="str">
        <x:v>Assumed</x:v>
      </x:c>
      <x:c r="G45" s="313" t="str">
        <x:v>A16</x:v>
      </x:c>
      <x:c r="H45" s="4"/>
      <x:c r="I45" s="4"/>
      <x:c r="J45" s="4"/>
      <x:c r="K45" s="4"/>
      <x:c r="L45" s="4"/>
      <x:c r="M45" s="4"/>
    </x:row>
    <x:row r="46">
      <x:c r="A46" s="79"/>
      <x:c r="C46" s="313" t="str">
        <x:v>Bridge loan share</x:v>
      </x:c>
      <x:c r="D46" s="370" t="n">
        <x:v>0.25</x:v>
      </x:c>
      <x:c r="E46" s="313" t="str">
        <x:v>% acquisition debt</x:v>
      </x:c>
      <x:c r="F46" s="313" t="str">
        <x:v>Assumed</x:v>
      </x:c>
      <x:c r="G46" s="313" t="str">
        <x:v>A17</x:v>
      </x:c>
      <x:c r="H46" s="4"/>
      <x:c r="I46" s="4"/>
      <x:c r="J46" s="4"/>
      <x:c r="K46" s="4"/>
      <x:c r="L46" s="4"/>
      <x:c r="M46" s="4"/>
    </x:row>
    <x:row r="47">
      <x:c r="A47" s="79"/>
      <x:c r="C47" s="313" t="str">
        <x:v>Senior notes share</x:v>
      </x:c>
      <x:c r="D47" s="370" t="n">
        <x:v>0.15</x:v>
      </x:c>
      <x:c r="E47" s="313" t="str">
        <x:v>% acquisition debt</x:v>
      </x:c>
      <x:c r="F47" s="313" t="str">
        <x:v>Assumed</x:v>
      </x:c>
      <x:c r="G47" s="313" t="str">
        <x:v>A18</x:v>
      </x:c>
      <x:c r="H47" s="4"/>
      <x:c r="I47" s="4"/>
      <x:c r="J47" s="4"/>
      <x:c r="K47" s="4"/>
      <x:c r="L47" s="4"/>
      <x:c r="M47" s="4"/>
    </x:row>
    <x:row r="48">
      <x:c r="A48" s="79"/>
      <x:c r="C48" s="313" t="str">
        <x:v>Term loan A cash interest rate</x:v>
      </x:c>
      <x:c r="D48" s="599" t="n">
        <x:f>5.50%+$D$22-5.75%</x:f>
        <x:v>0.055</x:v>
      </x:c>
      <x:c r="E48" s="313" t="str">
        <x:v>%</x:v>
      </x:c>
      <x:c r="F48" s="313" t="str">
        <x:v>Scenario selected</x:v>
      </x:c>
      <x:c r="G48" s="313" t="str">
        <x:v>A19</x:v>
      </x:c>
      <x:c r="H48" s="4"/>
      <x:c r="I48" s="4"/>
      <x:c r="J48" s="4"/>
      <x:c r="K48" s="4"/>
      <x:c r="L48" s="4"/>
      <x:c r="M48" s="4"/>
    </x:row>
    <x:row r="49">
      <x:c r="A49" s="79"/>
      <x:c r="C49" s="313" t="str">
        <x:v>Bridge loan cash interest rate</x:v>
      </x:c>
      <x:c r="D49" s="599" t="n">
        <x:f>6.00%+$D$22-5.75%</x:f>
        <x:v>0.05999999999999999</x:v>
      </x:c>
      <x:c r="E49" s="313" t="str">
        <x:v>%</x:v>
      </x:c>
      <x:c r="F49" s="313" t="str">
        <x:v>Scenario selected</x:v>
      </x:c>
      <x:c r="G49" s="313" t="str">
        <x:v>A20</x:v>
      </x:c>
      <x:c r="H49" s="4"/>
      <x:c r="I49" s="4"/>
      <x:c r="J49" s="4"/>
      <x:c r="K49" s="4"/>
      <x:c r="L49" s="4"/>
      <x:c r="M49" s="4"/>
    </x:row>
    <x:row r="50">
      <x:c r="A50" s="79"/>
      <x:c r="C50" s="313" t="str">
        <x:v>Senior notes cash interest rate</x:v>
      </x:c>
      <x:c r="D50" s="599" t="n">
        <x:f>6.33333333333333%+$D$22-5.75%</x:f>
        <x:v>0.0633333333333333</x:v>
      </x:c>
      <x:c r="E50" s="313" t="str">
        <x:v>%</x:v>
      </x:c>
      <x:c r="F50" s="313" t="str">
        <x:v>Scenario selected</x:v>
      </x:c>
      <x:c r="G50" s="313" t="str">
        <x:v>A21</x:v>
      </x:c>
      <x:c r="H50" s="4"/>
      <x:c r="I50" s="4"/>
      <x:c r="J50" s="4"/>
      <x:c r="K50" s="4"/>
      <x:c r="L50" s="4"/>
      <x:c r="M50" s="4"/>
    </x:row>
    <x:row r="51">
      <x:c r="A51" s="79"/>
      <x:c r="C51" s="313" t="str">
        <x:v>Term loan A mandatory amortisation</x:v>
      </x:c>
      <x:c r="D51" s="370" t="n">
        <x:v>0.0833333333333333</x:v>
      </x:c>
      <x:c r="E51" s="313" t="str">
        <x:v>% original TLA</x:v>
      </x:c>
      <x:c r="F51" s="313" t="str">
        <x:v>Assumed</x:v>
      </x:c>
      <x:c r="G51" s="313" t="str">
        <x:v>A22</x:v>
      </x:c>
      <x:c r="H51" s="4"/>
      <x:c r="I51" s="4"/>
      <x:c r="J51" s="4"/>
      <x:c r="K51" s="4"/>
      <x:c r="L51" s="4"/>
      <x:c r="M51" s="4"/>
    </x:row>
    <x:row r="52">
      <x:c r="A52" s="79"/>
      <x:c r="C52" s="313" t="str">
        <x:v>Cash sweep percentage</x:v>
      </x:c>
      <x:c r="D52" s="370" t="n">
        <x:v>0.5</x:v>
      </x:c>
      <x:c r="E52" s="313" t="str">
        <x:v>% excess cash flow</x:v>
      </x:c>
      <x:c r="F52" s="313" t="str">
        <x:v>Assumed</x:v>
      </x:c>
      <x:c r="G52" s="313" t="str">
        <x:v>A23</x:v>
      </x:c>
      <x:c r="H52" s="4"/>
      <x:c r="I52" s="4"/>
      <x:c r="J52" s="4"/>
      <x:c r="K52" s="4"/>
      <x:c r="L52" s="4"/>
      <x:c r="M52" s="4"/>
    </x:row>
    <x:row r="53">
      <x:c r="A53" s="79"/>
      <x:c r="C53" s="313" t="str">
        <x:v>GXO capex as % of revenue</x:v>
      </x:c>
      <x:c r="D53" s="370" t="n">
        <x:v>0.025</x:v>
      </x:c>
      <x:c r="E53" s="313" t="str">
        <x:v>% revenue</x:v>
      </x:c>
      <x:c r="F53" s="313" t="str">
        <x:v>Assumed</x:v>
      </x:c>
      <x:c r="G53" s="313" t="str">
        <x:v>A24</x:v>
      </x:c>
      <x:c r="H53" s="4"/>
      <x:c r="I53" s="4"/>
      <x:c r="J53" s="4"/>
      <x:c r="K53" s="4"/>
      <x:c r="L53" s="4"/>
      <x:c r="M53" s="4"/>
    </x:row>
    <x:row r="54">
      <x:c r="A54" s="79"/>
      <x:c r="C54" s="313" t="str">
        <x:v>Financing fee amortisation period</x:v>
      </x:c>
      <x:c r="D54" s="371" t="n">
        <x:v>5</x:v>
      </x:c>
      <x:c r="E54" s="313" t="str">
        <x:v>years</x:v>
      </x:c>
      <x:c r="F54" s="313" t="str">
        <x:v>Assumed</x:v>
      </x:c>
      <x:c r="G54" s="313" t="str">
        <x:v>A25</x:v>
      </x:c>
      <x:c r="H54" s="4"/>
      <x:c r="I54" s="4"/>
      <x:c r="J54" s="4"/>
      <x:c r="K54" s="4"/>
      <x:c r="L54" s="4"/>
      <x:c r="M54" s="4"/>
    </x:row>
    <x:row r="55">
      <x:c r="A55" s="79"/>
      <x:c r="C55" s="313" t="str">
        <x:v>2026 integration cost share</x:v>
      </x:c>
      <x:c r="D55" s="370" t="n">
        <x:v>0.5</x:v>
      </x:c>
      <x:c r="E55" s="313" t="str">
        <x:v>% total integration cost</x:v>
      </x:c>
      <x:c r="F55" s="313" t="str">
        <x:v>Assumed</x:v>
      </x:c>
      <x:c r="G55" s="313" t="str">
        <x:v>A26</x:v>
      </x:c>
      <x:c r="H55" s="4"/>
      <x:c r="I55" s="4"/>
      <x:c r="J55" s="4"/>
      <x:c r="K55" s="4"/>
      <x:c r="L55" s="4"/>
      <x:c r="M55" s="4"/>
    </x:row>
    <x:row r="56">
      <x:c r="A56" s="79"/>
      <x:c r="C56" s="313" t="str">
        <x:v>2027 integration cost share</x:v>
      </x:c>
      <x:c r="D56" s="370" t="n">
        <x:v>0.35</x:v>
      </x:c>
      <x:c r="E56" s="313" t="str">
        <x:v>% total integration cost</x:v>
      </x:c>
      <x:c r="F56" s="313" t="str">
        <x:v>Assumed</x:v>
      </x:c>
      <x:c r="G56" s="313" t="str">
        <x:v>A27</x:v>
      </x:c>
      <x:c r="H56" s="4"/>
      <x:c r="I56" s="4"/>
      <x:c r="J56" s="4"/>
      <x:c r="K56" s="4"/>
      <x:c r="L56" s="4"/>
      <x:c r="M56" s="4"/>
    </x:row>
    <x:row r="57">
      <x:c r="A57" s="79"/>
      <x:c r="C57" s="369" t="str">
        <x:v>2028 integration cost share</x:v>
      </x:c>
      <x:c r="D57" s="370" t="n">
        <x:v>0.15</x:v>
      </x:c>
      <x:c r="E57" s="369" t="str">
        <x:v>% total integration cost</x:v>
      </x:c>
      <x:c r="F57" s="369" t="str">
        <x:v>Assumed</x:v>
      </x:c>
      <x:c r="G57" s="369" t="str">
        <x:v>A28</x:v>
      </x:c>
      <x:c r="H57" s="4"/>
      <x:c r="I57" s="4"/>
      <x:c r="J57" s="4"/>
      <x:c r="K57" s="4"/>
      <x:c r="L57" s="4"/>
      <x:c r="M57" s="4"/>
    </x:row>
    <x:row r="58">
      <x:c r="A58" s="79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</x:row>
    <x:row r="59">
      <x:c r="A59" s="79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</x:row>
    <x:row r="60">
      <x:c r="A60" s="79"/>
      <x:c r="C60" s="399" t="str">
        <x:v>Purchase accounting assumptions</x:v>
      </x:c>
      <x:c r="D60" s="399"/>
      <x:c r="E60" s="399"/>
      <x:c r="F60" s="399"/>
      <x:c r="G60" s="399"/>
      <x:c r="H60" s="4"/>
      <x:c r="I60" s="4"/>
      <x:c r="J60" s="4"/>
      <x:c r="K60" s="4"/>
      <x:c r="L60" s="4"/>
      <x:c r="M60" s="4"/>
    </x:row>
    <x:row r="61">
      <x:c r="A61" s="79"/>
      <x:c r="C61"/>
      <x:c r="D61"/>
      <x:c r="E61"/>
      <x:c r="F61"/>
      <x:c r="G61"/>
      <x:c r="H61" s="4"/>
      <x:c r="I61" s="4"/>
      <x:c r="J61" s="4"/>
      <x:c r="K61" s="4"/>
      <x:c r="L61" s="4"/>
      <x:c r="M61" s="4"/>
    </x:row>
    <x:row r="62">
      <x:c r="A62" s="79"/>
      <x:c r="C62" s="404" t="str">
        <x:v>Assumption</x:v>
      </x:c>
      <x:c r="D62" s="404" t="str">
        <x:v>Base case</x:v>
      </x:c>
      <x:c r="E62" s="404" t="str">
        <x:v>Units</x:v>
      </x:c>
      <x:c r="F62" s="404" t="str">
        <x:v>Status</x:v>
      </x:c>
      <x:c r="G62" s="404" t="str">
        <x:v>Source ID</x:v>
      </x:c>
      <x:c r="H62" s="4"/>
      <x:c r="I62" s="4"/>
      <x:c r="J62" s="4"/>
      <x:c r="K62" s="4"/>
      <x:c r="L62" s="4"/>
      <x:c r="M62" s="4"/>
    </x:row>
    <x:row r="63">
      <x:c r="A63" s="79"/>
      <x:c r="C63" s="313" t="str">
        <x:v>Inventory write-up</x:v>
      </x:c>
      <x:c r="D63" s="406" t="n">
        <x:v>0.005</x:v>
      </x:c>
      <x:c r="E63" s="313" t="str">
        <x:v>% equity purchase price</x:v>
      </x:c>
      <x:c r="F63" s="313" t="str">
        <x:v>Assumed</x:v>
      </x:c>
      <x:c r="G63" s="313" t="str">
        <x:v>A29</x:v>
      </x:c>
      <x:c r="H63" s="4"/>
      <x:c r="I63" s="4"/>
      <x:c r="J63" s="4"/>
      <x:c r="K63" s="4"/>
      <x:c r="L63" s="4"/>
      <x:c r="M63" s="4"/>
    </x:row>
    <x:row r="64">
      <x:c r="A64" s="79"/>
      <x:c r="C64" s="313" t="str">
        <x:v>Inventory write-up life</x:v>
      </x:c>
      <x:c r="D64" s="407" t="n">
        <x:v>1</x:v>
      </x:c>
      <x:c r="E64" s="313" t="str">
        <x:v>years</x:v>
      </x:c>
      <x:c r="F64" s="313" t="str">
        <x:v>Assumed</x:v>
      </x:c>
      <x:c r="G64" s="313" t="str">
        <x:v>A30</x:v>
      </x:c>
      <x:c r="H64" s="4"/>
      <x:c r="I64" s="4"/>
      <x:c r="J64" s="4"/>
      <x:c r="K64" s="4"/>
      <x:c r="L64" s="4"/>
      <x:c r="M64" s="4"/>
    </x:row>
    <x:row r="65">
      <x:c r="A65" s="79"/>
      <x:c r="C65" s="313" t="str">
        <x:v>PP&amp;E write-up</x:v>
      </x:c>
      <x:c r="D65" s="406" t="n">
        <x:v>0.05</x:v>
      </x:c>
      <x:c r="E65" s="313" t="str">
        <x:v>% equity purchase price</x:v>
      </x:c>
      <x:c r="F65" s="313" t="str">
        <x:v>Assumed</x:v>
      </x:c>
      <x:c r="G65" s="313" t="str">
        <x:v>A31</x:v>
      </x:c>
      <x:c r="H65" s="4"/>
      <x:c r="I65" s="4"/>
      <x:c r="J65" s="4"/>
      <x:c r="K65" s="4"/>
      <x:c r="L65" s="4"/>
      <x:c r="M65" s="4"/>
    </x:row>
    <x:row r="66">
      <x:c r="A66" s="79"/>
      <x:c r="C66" s="313" t="str">
        <x:v>PP&amp;E write-up life</x:v>
      </x:c>
      <x:c r="D66" s="407" t="n">
        <x:v>10</x:v>
      </x:c>
      <x:c r="E66" s="313" t="str">
        <x:v>years</x:v>
      </x:c>
      <x:c r="F66" s="313" t="str">
        <x:v>Assumed</x:v>
      </x:c>
      <x:c r="G66" s="313" t="str">
        <x:v>A32</x:v>
      </x:c>
      <x:c r="H66" s="4"/>
      <x:c r="I66" s="4"/>
      <x:c r="J66" s="4"/>
      <x:c r="K66" s="4"/>
      <x:c r="L66" s="4"/>
      <x:c r="M66" s="4"/>
    </x:row>
    <x:row r="67">
      <x:c r="A67" s="79"/>
      <x:c r="C67" s="313" t="str">
        <x:v>Customer relationships</x:v>
      </x:c>
      <x:c r="D67" s="406" t="n">
        <x:v>0.18</x:v>
      </x:c>
      <x:c r="E67" s="313" t="str">
        <x:v>% equity purchase price</x:v>
      </x:c>
      <x:c r="F67" s="313" t="str">
        <x:v>Assumed</x:v>
      </x:c>
      <x:c r="G67" s="313" t="str">
        <x:v>A33</x:v>
      </x:c>
      <x:c r="H67" s="4"/>
      <x:c r="I67" s="4"/>
      <x:c r="J67" s="4"/>
      <x:c r="K67" s="4"/>
      <x:c r="L67" s="4"/>
      <x:c r="M67" s="4"/>
    </x:row>
    <x:row r="68">
      <x:c r="A68" s="79"/>
      <x:c r="C68" s="313" t="str">
        <x:v>Customer relationships life</x:v>
      </x:c>
      <x:c r="D68" s="407" t="n">
        <x:v>15</x:v>
      </x:c>
      <x:c r="E68" s="313" t="str">
        <x:v>years</x:v>
      </x:c>
      <x:c r="F68" s="313" t="str">
        <x:v>Assumed</x:v>
      </x:c>
      <x:c r="G68" s="313" t="str">
        <x:v>A34</x:v>
      </x:c>
      <x:c r="H68" s="4"/>
      <x:c r="I68" s="4"/>
      <x:c r="J68" s="4"/>
      <x:c r="K68" s="4"/>
      <x:c r="L68" s="4"/>
      <x:c r="M68" s="4"/>
    </x:row>
    <x:row r="69">
      <x:c r="A69" s="79"/>
      <x:c r="C69" s="313" t="str">
        <x:v>Technology</x:v>
      </x:c>
      <x:c r="D69" s="406" t="n">
        <x:v>0.05</x:v>
      </x:c>
      <x:c r="E69" s="313" t="str">
        <x:v>% equity purchase price</x:v>
      </x:c>
      <x:c r="F69" s="313" t="str">
        <x:v>Assumed</x:v>
      </x:c>
      <x:c r="G69" s="313" t="str">
        <x:v>A35</x:v>
      </x:c>
      <x:c r="H69" s="4"/>
      <x:c r="I69" s="4"/>
      <x:c r="J69" s="4"/>
      <x:c r="K69" s="4"/>
      <x:c r="L69" s="4"/>
      <x:c r="M69" s="4"/>
    </x:row>
    <x:row r="70">
      <x:c r="A70" s="79"/>
      <x:c r="C70" s="313" t="str">
        <x:v>Technology life</x:v>
      </x:c>
      <x:c r="D70" s="407" t="n">
        <x:v>7</x:v>
      </x:c>
      <x:c r="E70" s="313" t="str">
        <x:v>years</x:v>
      </x:c>
      <x:c r="F70" s="313" t="str">
        <x:v>Assumed</x:v>
      </x:c>
      <x:c r="G70" s="313" t="str">
        <x:v>A36</x:v>
      </x:c>
      <x:c r="H70" s="4"/>
      <x:c r="I70" s="4"/>
      <x:c r="J70" s="4"/>
      <x:c r="K70" s="4"/>
      <x:c r="L70" s="4"/>
      <x:c r="M70" s="4"/>
    </x:row>
    <x:row r="71">
      <x:c r="A71" s="79"/>
      <x:c r="C71" s="313" t="str">
        <x:v>Trade name</x:v>
      </x:c>
      <x:c r="D71" s="406" t="n">
        <x:v>0.03</x:v>
      </x:c>
      <x:c r="E71" s="313" t="str">
        <x:v>% equity purchase price</x:v>
      </x:c>
      <x:c r="F71" s="313" t="str">
        <x:v>Assumed</x:v>
      </x:c>
      <x:c r="G71" s="313" t="str">
        <x:v>A37</x:v>
      </x:c>
      <x:c r="H71" s="4"/>
      <x:c r="I71" s="4"/>
      <x:c r="J71" s="4"/>
      <x:c r="K71" s="4"/>
      <x:c r="L71" s="4"/>
      <x:c r="M71" s="4"/>
    </x:row>
    <x:row r="72">
      <x:c r="A72" s="79"/>
      <x:c r="C72" s="313" t="str">
        <x:v>Trade name life</x:v>
      </x:c>
      <x:c r="D72" s="407" t="n">
        <x:v>15</x:v>
      </x:c>
      <x:c r="E72" s="313" t="str">
        <x:v>years</x:v>
      </x:c>
      <x:c r="F72" s="313" t="str">
        <x:v>Assumed</x:v>
      </x:c>
      <x:c r="G72" s="313" t="str">
        <x:v>A38</x:v>
      </x:c>
      <x:c r="H72" s="4"/>
      <x:c r="I72" s="4"/>
      <x:c r="J72" s="4"/>
      <x:c r="K72" s="4"/>
      <x:c r="L72" s="4"/>
      <x:c r="M72" s="4"/>
    </x:row>
    <x:row r="73">
      <x:c r="A73" s="79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</x:row>
    <x:row r="74">
      <x:c r="A74" s="79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</x:row>
    <x:row r="75">
      <x:c r="A75" s="79"/>
      <x:c r="C75" s="516" t="str">
        <x:v>Return metric assumptions</x:v>
      </x:c>
      <x:c r="D75" s="517"/>
      <x:c r="E75" s="517"/>
      <x:c r="F75" s="517"/>
      <x:c r="G75" s="518"/>
      <x:c r="H75" s="4"/>
      <x:c r="I75" s="4"/>
      <x:c r="J75" s="4"/>
      <x:c r="K75" s="4"/>
      <x:c r="L75" s="4"/>
      <x:c r="M75" s="4"/>
    </x:row>
    <x:row r="76">
      <x:c r="A76" s="79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</x:row>
    <x:row r="77">
      <x:c r="A77" s="79"/>
      <x:c r="C77" s="522" t="str">
        <x:v>Assumption</x:v>
      </x:c>
      <x:c r="D77" s="522" t="str">
        <x:v>Base case</x:v>
      </x:c>
      <x:c r="E77" s="522" t="str">
        <x:v>Units</x:v>
      </x:c>
      <x:c r="F77" s="522" t="str">
        <x:v>Status</x:v>
      </x:c>
      <x:c r="G77" s="522" t="str">
        <x:v>Source ID</x:v>
      </x:c>
      <x:c r="H77" s="4"/>
      <x:c r="I77" s="4"/>
      <x:c r="J77" s="4"/>
      <x:c r="K77" s="4"/>
      <x:c r="L77" s="4"/>
      <x:c r="M77" s="4"/>
    </x:row>
    <x:row r="78">
      <x:c r="A78" s="79"/>
      <x:c r="C78" s="4" t="str">
        <x:v>Illustrative UPS WACC</x:v>
      </x:c>
      <x:c r="D78" s="525" t="n">
        <x:v>0.075</x:v>
      </x:c>
      <x:c r="E78" s="4" t="str">
        <x:v>%</x:v>
      </x:c>
      <x:c r="F78" s="4" t="str">
        <x:v>Assumed</x:v>
      </x:c>
      <x:c r="G78" s="4" t="str">
        <x:v>A39</x:v>
      </x:c>
      <x:c r="H78" s="4"/>
      <x:c r="I78" s="4"/>
      <x:c r="J78" s="4"/>
      <x:c r="K78" s="4"/>
      <x:c r="L78" s="4"/>
      <x:c r="M78" s="4"/>
    </x:row>
    <x:row r="79" ht="28" customHeight="1">
      <x:c r="A79" s="79"/>
      <x:c r="C79" s="298" t="str">
        <x:v>Use</x:v>
      </x:c>
      <x:c r="D79" s="299" t="str">
        <x:v>Return threshold for incremental ROIC; illustrative modelling assumption, not company guidance</x:v>
      </x:c>
      <x:c r="E79" s="299"/>
      <x:c r="F79" s="299"/>
      <x:c r="G79" s="299"/>
      <x:c r="H79" s="4"/>
      <x:c r="I79" s="4"/>
      <x:c r="J79" s="4"/>
      <x:c r="K79" s="4"/>
      <x:c r="L79" s="4"/>
      <x:c r="M79" s="4"/>
    </x:row>
    <x:row r="80">
      <x:c r="A80" s="79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</x:row>
    <x:row r="81">
      <x:c r="A81" s="79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</x:row>
    <x:row r="82">
      <x:c r="A82" s="79"/>
      <x:c r="C82" s="570" t="str">
        <x:v>Transaction scenario assumptions</x:v>
      </x:c>
      <x:c r="D82" s="571"/>
      <x:c r="E82" s="571"/>
      <x:c r="F82" s="571"/>
      <x:c r="G82" s="571"/>
      <x:c r="H82" s="571"/>
      <x:c r="I82" s="572"/>
      <x:c r="J82" s="4"/>
      <x:c r="K82" s="4"/>
      <x:c r="L82" s="4"/>
      <x:c r="M82" s="4"/>
    </x:row>
    <x:row r="83">
      <x:c r="A83" s="79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>
      <x:c r="A84" s="79"/>
      <x:c r="C84" s="576" t="str">
        <x:v>Assumption</x:v>
      </x:c>
      <x:c r="D84" s="576" t="str">
        <x:v>Downside</x:v>
      </x:c>
      <x:c r="E84" s="576" t="str">
        <x:v>Base</x:v>
      </x:c>
      <x:c r="F84" s="576" t="str">
        <x:v>Upside</x:v>
      </x:c>
      <x:c r="G84" s="576" t="str">
        <x:v>Selected case</x:v>
      </x:c>
      <x:c r="H84" s="576" t="str">
        <x:v>Units</x:v>
      </x:c>
      <x:c r="I84" s="576" t="str">
        <x:v>Rationale</x:v>
      </x:c>
      <x:c r="J84" s="4"/>
      <x:c r="K84" s="4"/>
      <x:c r="L84" s="4"/>
      <x:c r="M84" s="4"/>
    </x:row>
    <x:row r="85">
      <x:c r="A85" s="79"/>
      <x:c r="C85" s="4" t="str">
        <x:v>Full run-rate cost synergies</x:v>
      </x:c>
      <x:c r="D85" s="584" t="n">
        <x:v>172.25</x:v>
      </x:c>
      <x:c r="E85" s="584" t="n">
        <x:v>265</x:v>
      </x:c>
      <x:c r="F85" s="584" t="n">
        <x:v>331.25</x:v>
      </x:c>
      <x:c r="G85" s="585" t="n">
        <x:f>IF('Standalone Forecasts'!$D$6="Downside",D85,IF('Standalone Forecasts'!$D$6="Upside",F85,E85))</x:f>
        <x:v>265</x:v>
      </x:c>
      <x:c r="H85" s="4" t="str">
        <x:v>$m</x:v>
      </x:c>
      <x:c r="I85" s="547" t="str">
        <x:v>65% / 100% / 125% of base</x:v>
      </x:c>
      <x:c r="J85" s="4"/>
      <x:c r="K85" s="4"/>
      <x:c r="L85" s="4"/>
      <x:c r="M85" s="4"/>
    </x:row>
    <x:row r="86">
      <x:c r="A86" s="79"/>
      <x:c r="C86" s="4" t="str">
        <x:v>FY2026 synergy phase-in</x:v>
      </x:c>
      <x:c r="D86" s="582" t="n">
        <x:v>0.2</x:v>
      </x:c>
      <x:c r="E86" s="582" t="n">
        <x:v>0.35</x:v>
      </x:c>
      <x:c r="F86" s="582" t="n">
        <x:v>0.5</x:v>
      </x:c>
      <x:c r="G86" s="583" t="n">
        <x:f>IF('Standalone Forecasts'!$D$6="Downside",D86,IF('Standalone Forecasts'!$D$6="Upside",F86,E86))</x:f>
        <x:v>0.35</x:v>
      </x:c>
      <x:c r="H86" s="4" t="str">
        <x:v>%</x:v>
      </x:c>
      <x:c r="I86" s="547" t="str">
        <x:v>Delayed / normal / accelerated</x:v>
      </x:c>
      <x:c r="J86" s="4"/>
      <x:c r="K86" s="4"/>
      <x:c r="L86" s="4"/>
      <x:c r="M86" s="4"/>
    </x:row>
    <x:row r="87">
      <x:c r="A87" s="79"/>
      <x:c r="C87" s="4" t="str">
        <x:v>FY2027 synergy phase-in</x:v>
      </x:c>
      <x:c r="D87" s="582" t="n">
        <x:v>0.55</x:v>
      </x:c>
      <x:c r="E87" s="582" t="n">
        <x:v>0.75</x:v>
      </x:c>
      <x:c r="F87" s="582" t="n">
        <x:v>0.9</x:v>
      </x:c>
      <x:c r="G87" s="583" t="n">
        <x:f>IF('Standalone Forecasts'!$D$6="Downside",D87,IF('Standalone Forecasts'!$D$6="Upside",F87,E87))</x:f>
        <x:v>0.75</x:v>
      </x:c>
      <x:c r="H87" s="4" t="str">
        <x:v>%</x:v>
      </x:c>
      <x:c r="I87" s="547" t="str">
        <x:v>Delayed / normal / accelerated</x:v>
      </x:c>
      <x:c r="J87" s="4"/>
      <x:c r="K87" s="4"/>
      <x:c r="L87" s="4"/>
      <x:c r="M87" s="4"/>
    </x:row>
    <x:row r="88">
      <x:c r="A88" s="79"/>
      <x:c r="C88" s="4" t="str">
        <x:v>FY2028 synergy phase-in</x:v>
      </x:c>
      <x:c r="D88" s="582" t="n">
        <x:v>0.85</x:v>
      </x:c>
      <x:c r="E88" s="582" t="n">
        <x:v>1</x:v>
      </x:c>
      <x:c r="F88" s="582" t="n">
        <x:v>1</x:v>
      </x:c>
      <x:c r="G88" s="583" t="n">
        <x:f>IF('Standalone Forecasts'!$D$6="Downside",D88,IF('Standalone Forecasts'!$D$6="Upside",F88,E88))</x:f>
        <x:v>1</x:v>
      </x:c>
      <x:c r="H88" s="4" t="str">
        <x:v>%</x:v>
      </x:c>
      <x:c r="I88" s="547" t="str">
        <x:v>Delayed / normal / accelerated</x:v>
      </x:c>
      <x:c r="J88" s="4"/>
      <x:c r="K88" s="4"/>
      <x:c r="L88" s="4"/>
      <x:c r="M88" s="4"/>
    </x:row>
    <x:row r="89">
      <x:c r="A89" s="79"/>
      <x:c r="C89" s="4" t="str">
        <x:v>New debt interest rate</x:v>
      </x:c>
      <x:c r="D89" s="582" t="n">
        <x:v>0.0675</x:v>
      </x:c>
      <x:c r="E89" s="582" t="n">
        <x:v>0.0575</x:v>
      </x:c>
      <x:c r="F89" s="582" t="n">
        <x:v>0.0475</x:v>
      </x:c>
      <x:c r="G89" s="583" t="n">
        <x:f>IF('Standalone Forecasts'!$D$6="Downside",D89,IF('Standalone Forecasts'!$D$6="Upside",F89,E89))</x:f>
        <x:v>0.0575</x:v>
      </x:c>
      <x:c r="H89" s="4" t="str">
        <x:v>%</x:v>
      </x:c>
      <x:c r="I89" s="547" t="str">
        <x:v>Base +/- 100 bps</x:v>
      </x:c>
      <x:c r="J89" s="4"/>
      <x:c r="K89" s="4"/>
      <x:c r="L89" s="4"/>
      <x:c r="M89" s="4"/>
    </x:row>
    <x:row r="90">
      <x:c r="A90" s="79"/>
      <x:c r="C90" s="4" t="str">
        <x:v>Integration cost multiple</x:v>
      </x:c>
      <x:c r="D90" s="586" t="n">
        <x:v>1.8</x:v>
      </x:c>
      <x:c r="E90" s="586" t="n">
        <x:v>1.5</x:v>
      </x:c>
      <x:c r="F90" s="586" t="n">
        <x:v>1.2</x:v>
      </x:c>
      <x:c r="G90" s="587" t="n">
        <x:f>IF('Standalone Forecasts'!$D$6="Downside",D90,IF('Standalone Forecasts'!$D$6="Upside",F90,E90))</x:f>
        <x:v>1.5</x:v>
      </x:c>
      <x:c r="H90" s="4" t="str">
        <x:v>x synergies</x:v>
      </x:c>
      <x:c r="I90" s="547" t="str">
        <x:v>Higher / base / lower</x:v>
      </x:c>
      <x:c r="J90" s="4"/>
      <x:c r="K90" s="4"/>
      <x:c r="L90" s="4"/>
      <x:c r="M90" s="4"/>
    </x:row>
    <x:row r="91">
      <x:c r="A91" s="79"/>
      <x:c r="C91" s="4" t="str">
        <x:v>Assumed closing date</x:v>
      </x:c>
      <x:c r="D91" s="588" t="n">
        <x:v>46295</x:v>
      </x:c>
      <x:c r="E91" s="588" t="n">
        <x:v>46203</x:v>
      </x:c>
      <x:c r="F91" s="588" t="n">
        <x:v>46112</x:v>
      </x:c>
      <x:c r="G91" s="589" t="n">
        <x:f>IF('Standalone Forecasts'!$D$6="Downside",D91,IF('Standalone Forecasts'!$D$6="Upside",F91,E91))</x:f>
        <x:v>46203</x:v>
      </x:c>
      <x:c r="H91" s="4" t="str">
        <x:v>date</x:v>
      </x:c>
      <x:c r="I91" s="547" t="str">
        <x:v>Later / base / earlier</x:v>
      </x:c>
      <x:c r="J91" s="4"/>
      <x:c r="K91" s="4"/>
      <x:c r="L91" s="4"/>
      <x:c r="M91" s="4"/>
    </x:row>
    <x:row r="92">
      <x:c r="A92" s="79"/>
      <x:c r="C92" s="4" t="str">
        <x:v>FY2026 ownership factor</x:v>
      </x:c>
      <x:c r="D92" s="582" t="n">
        <x:f>MAX(0,MIN(1,(DATE(2026,12,31)-D91+1)/365))</x:f>
        <x:v>0.25479452546296294</x:v>
      </x:c>
      <x:c r="E92" s="582" t="n">
        <x:f>MAX(0,MIN(1,(DATE(2026,12,31)-E91+1)/365))</x:f>
        <x:v>0.5068493171296297</x:v>
      </x:c>
      <x:c r="F92" s="582" t="n">
        <x:f>MAX(0,MIN(1,(DATE(2026,12,31)-F91+1)/365))</x:f>
        <x:v>0.756164386574074</x:v>
      </x:c>
      <x:c r="G92" s="583" t="n">
        <x:f>IF('Standalone Forecasts'!$D$6="Downside",D92,IF('Standalone Forecasts'!$D$6="Upside",F92,E92))</x:f>
        <x:v>0.5068493150684932</x:v>
      </x:c>
      <x:c r="H92" s="4" t="str">
        <x:v>% of FY2026</x:v>
      </x:c>
      <x:c r="I92" s="547" t="str">
        <x:v>Calendar days owned after closing</x:v>
      </x:c>
      <x:c r="J92" s="4"/>
      <x:c r="K92" s="4"/>
      <x:c r="L92" s="4"/>
      <x:c r="M92" s="4"/>
    </x:row>
    <x:row r="93">
      <x:c r="A93" s="79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79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>
      <x:c r="A95" s="79"/>
      <x:c r="C95" s="570" t="str">
        <x:v>Selected scenario outputs</x:v>
      </x:c>
      <x:c r="D95" s="571"/>
      <x:c r="E95" s="571"/>
      <x:c r="F95" s="571"/>
      <x:c r="G95" s="571"/>
      <x:c r="H95" s="571"/>
      <x:c r="I95" s="572"/>
      <x:c r="J95" s="4"/>
      <x:c r="K95" s="4"/>
      <x:c r="L95" s="4"/>
      <x:c r="M95" s="4"/>
    </x:row>
    <x:row r="96">
      <x:c r="A96" s="79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79"/>
      <x:c r="C97" s="576" t="str">
        <x:v>Metric</x:v>
      </x:c>
      <x:c r="D97" s="576" t="str">
        <x:v>FY:26E</x:v>
      </x:c>
      <x:c r="E97" s="576" t="str">
        <x:v>FY:27E</x:v>
      </x:c>
      <x:c r="F97" s="576" t="str">
        <x:v>FY:28E</x:v>
      </x:c>
      <x:c r="G97" s="576" t="str">
        <x:v>Selected case</x:v>
      </x:c>
      <x:c r="H97" s="576" t="str">
        <x:v>Units</x:v>
      </x:c>
      <x:c r="I97" s="576" t="str">
        <x:v>Source</x:v>
      </x:c>
      <x:c r="J97" s="4"/>
      <x:c r="K97" s="4"/>
      <x:c r="L97" s="4"/>
      <x:c r="M97" s="4"/>
    </x:row>
    <x:row r="98">
      <x:c r="A98" s="79"/>
      <x:c r="C98" s="4" t="str">
        <x:v>Target revenue growth</x:v>
      </x:c>
      <x:c r="D98" s="559" t="n">
        <x:f>'Standalone Forecasts'!G29</x:f>
        <x:v>0.04499999999999993</x:v>
      </x:c>
      <x:c r="E98" s="559" t="n">
        <x:f>'Standalone Forecasts'!H29</x:f>
        <x:v>0.050000000000000044</x:v>
      </x:c>
      <x:c r="F98" s="559" t="n">
        <x:f>'Standalone Forecasts'!I29</x:f>
        <x:v>0.050000000000000044</x:v>
      </x:c>
      <x:c r="G98" s="318" t="str">
        <x:f>'Standalone Forecasts'!$D$6</x:f>
        <x:v>Base</x:v>
      </x:c>
      <x:c r="H98" s="4" t="str">
        <x:v>%</x:v>
      </x:c>
      <x:c r="I98" s="602" t="str">
        <x:v>Standalone Forecasts</x:v>
      </x:c>
      <x:c r="J98" s="4"/>
      <x:c r="K98" s="4"/>
      <x:c r="L98" s="4"/>
      <x:c r="M98" s="4"/>
    </x:row>
    <x:row r="99">
      <x:c r="A99" s="79"/>
      <x:c r="C99" s="4" t="str">
        <x:v>Target revenue</x:v>
      </x:c>
      <x:c r="D99" s="558" t="n">
        <x:f>'Standalone Forecasts'!G28</x:f>
        <x:v>13771.009999999998</x:v>
      </x:c>
      <x:c r="E99" s="558" t="n">
        <x:f>'Standalone Forecasts'!H28</x:f>
        <x:v>14459.5605</x:v>
      </x:c>
      <x:c r="F99" s="558" t="n">
        <x:f>'Standalone Forecasts'!I28</x:f>
        <x:v>15182.538525</x:v>
      </x:c>
      <x:c r="G99" s="318" t="str">
        <x:f>'Standalone Forecasts'!$D$6</x:f>
        <x:v>Base</x:v>
      </x:c>
      <x:c r="H99" s="4" t="str">
        <x:v>$m</x:v>
      </x:c>
      <x:c r="I99" s="602" t="str">
        <x:v>Standalone Forecasts</x:v>
      </x:c>
      <x:c r="J99" s="4"/>
      <x:c r="K99" s="4"/>
      <x:c r="L99" s="4"/>
      <x:c r="M99" s="4"/>
    </x:row>
    <x:row r="100">
      <x:c r="A100" s="79"/>
      <x:c r="C100" s="4" t="str">
        <x:v>Cost synergies realized</x:v>
      </x:c>
      <x:c r="D100" s="558" t="n">
        <x:f>'Pro Forma Income Statement'!D14</x:f>
        <x:v>47.01027397260274</x:v>
      </x:c>
      <x:c r="E100" s="558" t="n">
        <x:f>'Pro Forma Income Statement'!E14</x:f>
        <x:v>198.75</x:v>
      </x:c>
      <x:c r="F100" s="558" t="n">
        <x:f>'Pro Forma Income Statement'!F14</x:f>
        <x:v>265</x:v>
      </x:c>
      <x:c r="G100" s="318" t="str">
        <x:f>'Standalone Forecasts'!$D$6</x:f>
        <x:v>Base</x:v>
      </x:c>
      <x:c r="H100" s="4" t="str">
        <x:v>$m</x:v>
      </x:c>
      <x:c r="I100" s="602" t="str">
        <x:v>Pro Forma Income Statement</x:v>
      </x:c>
      <x:c r="J100" s="4"/>
      <x:c r="K100" s="4"/>
      <x:c r="L100" s="4"/>
      <x:c r="M100" s="4"/>
    </x:row>
    <x:row r="101">
      <x:c r="C101" t="str">
        <x:v>EPS accretion / (dilution)</x:v>
      </x:c>
      <x:c r="D101" s="559" t="n">
        <x:f>'Accretion-Dilution'!D17</x:f>
        <x:v>-0.02346893443324094</x:v>
      </x:c>
      <x:c r="E101" s="559" t="n">
        <x:f>'Accretion-Dilution'!E17</x:f>
        <x:v>-0.00833383652045383</x:v>
      </x:c>
      <x:c r="F101" s="559" t="n">
        <x:f>'Accretion-Dilution'!F17</x:f>
        <x:v>0.02043184257214259</x:v>
      </x:c>
      <x:c r="G101" s="318" t="str">
        <x:f>'Standalone Forecasts'!$D$6</x:f>
        <x:v>Base</x:v>
      </x:c>
      <x:c r="H101" t="str">
        <x:v>%</x:v>
      </x:c>
      <x:c r="I101" s="602" t="str">
        <x:v>Accretion-Dilution</x:v>
      </x:c>
    </x:row>
    <x:row r="102">
      <x:c r="C102" t="str">
        <x:v>Net leverage</x:v>
      </x:c>
      <x:c r="D102" s="562" t="n">
        <x:f>'Accretion-Dilution'!D51</x:f>
        <x:v>2.127527495169577</x:v>
      </x:c>
      <x:c r="E102" s="562" t="n">
        <x:f>'Accretion-Dilution'!E51</x:f>
        <x:v>1.988056652084226</x:v>
      </x:c>
      <x:c r="F102" s="562" t="n">
        <x:f>'Accretion-Dilution'!F51</x:f>
        <x:v>1.8485942517624556</x:v>
      </x:c>
      <x:c r="G102" s="318" t="str">
        <x:f>'Standalone Forecasts'!$D$6</x:f>
        <x:v>Base</x:v>
      </x:c>
      <x:c r="H102" t="str">
        <x:v>x</x:v>
      </x:c>
      <x:c r="I102" s="602" t="str">
        <x:v>Accretion-Dilution</x:v>
      </x:c>
    </x:row>
    <x:row r="103">
      <x:c r="C103" t="str">
        <x:v>Incremental ROIC</x:v>
      </x:c>
      <x:c r="D103" s="559" t="n">
        <x:f>'Accretion-Dilution'!D57</x:f>
        <x:v>0.021293248065096967</x:v>
      </x:c>
      <x:c r="E103" s="559" t="n">
        <x:f>'Accretion-Dilution'!E57</x:f>
        <x:v>0.054951319124502226</x:v>
      </x:c>
      <x:c r="F103" s="559" t="n">
        <x:f>'Accretion-Dilution'!F57</x:f>
        <x:v>0.06532725877523561</x:v>
      </x:c>
      <x:c r="G103" s="318" t="str">
        <x:f>'Standalone Forecasts'!$D$6</x:f>
        <x:v>Base</x:v>
      </x:c>
      <x:c r="H103" t="str">
        <x:v>%</x:v>
      </x:c>
      <x:c r="I103" s="602" t="str">
        <x:v>Accretion-Dilution</x:v>
      </x:c>
    </x:row>
    <x:row r="104">
      <x:c r="C104" t="str">
        <x:v>ROIC less WACC</x:v>
      </x:c>
      <x:c r="D104" s="559" t="n">
        <x:f>'Accretion-Dilution'!D59</x:f>
        <x:v>-0.05370675193490303</x:v>
      </x:c>
      <x:c r="E104" s="559" t="n">
        <x:f>'Accretion-Dilution'!E59</x:f>
        <x:v>-0.02004868087549777</x:v>
      </x:c>
      <x:c r="F104" s="559" t="n">
        <x:f>'Accretion-Dilution'!F59</x:f>
        <x:v>-0.009672741224764386</x:v>
      </x:c>
      <x:c r="G104" s="318" t="str">
        <x:f>'Standalone Forecasts'!$D$6</x:f>
        <x:v>Base</x:v>
      </x:c>
      <x:c r="H104" t="str">
        <x:v>%</x:v>
      </x:c>
      <x:c r="I104" s="602" t="str">
        <x:v>Accretion-Dilution</x:v>
      </x:c>
    </x:row>
  </x:sheetData>
  <x:mergeCells>
    <x:mergeCell ref="D79:G7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5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UPS historical financials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Reported results and selected management adjustments | USD in millions except per-share data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182" t="str">
        <x:v>Income statement</x:v>
      </x:c>
      <x:c r="D6" s="183"/>
      <x:c r="E6" s="183"/>
      <x:c r="F6" s="183"/>
      <x:c r="G6" s="184"/>
      <x:c r="H6" s="4"/>
      <x:c r="I6" s="4"/>
      <x:c r="J6" s="4"/>
      <x:c r="K6" s="4"/>
      <x:c r="L6" s="4"/>
      <x:c r="M6" s="4"/>
    </x:row>
    <x:row r="7">
      <x:c r="A7" s="79"/>
      <x:c r="C7"/>
      <x:c r="D7"/>
      <x:c r="E7"/>
      <x:c r="F7"/>
      <x:c r="G7"/>
      <x:c r="H7" s="4"/>
      <x:c r="I7" s="4"/>
      <x:c r="J7" s="4"/>
      <x:c r="K7" s="4"/>
      <x:c r="L7" s="4"/>
      <x:c r="M7" s="4"/>
    </x:row>
    <x:row r="8">
      <x:c r="A8" s="79"/>
      <x:c r="C8" s="187" t="str">
        <x:v>Metric</x:v>
      </x:c>
      <x:c r="D8" s="187" t="str">
        <x:v>FY:23A</x:v>
      </x:c>
      <x:c r="E8" s="187" t="str">
        <x:v>FY:24A</x:v>
      </x:c>
      <x:c r="F8" s="187" t="str">
        <x:v>FY:25A</x:v>
      </x:c>
      <x:c r="G8" s="187" t="str">
        <x:v>Source ID</x:v>
      </x:c>
      <x:c r="H8" s="4"/>
      <x:c r="I8" s="4"/>
      <x:c r="J8" s="4"/>
      <x:c r="K8" s="4"/>
      <x:c r="L8" s="4"/>
      <x:c r="M8" s="4"/>
    </x:row>
    <x:row r="9">
      <x:c r="A9" s="79"/>
      <x:c r="C9" t="str">
        <x:v>Revenue</x:v>
      </x:c>
      <x:c r="D9" s="208" t="n">
        <x:v>90958</x:v>
      </x:c>
      <x:c r="E9" s="209" t="n">
        <x:v>91070</x:v>
      </x:c>
      <x:c r="F9" s="210" t="n">
        <x:v>88661</x:v>
      </x:c>
      <x:c r="G9" t="str">
        <x:v>S02</x:v>
      </x:c>
      <x:c r="H9" s="4"/>
      <x:c r="I9" s="4"/>
      <x:c r="J9" s="4"/>
      <x:c r="K9" s="4"/>
      <x:c r="L9" s="4"/>
      <x:c r="M9" s="4"/>
    </x:row>
    <x:row r="10">
      <x:c r="A10" s="79"/>
      <x:c r="C10" t="str">
        <x:v>Total operating expenses</x:v>
      </x:c>
      <x:c r="D10" s="211" t="n">
        <x:v>81817</x:v>
      </x:c>
      <x:c r="E10" s="212" t="n">
        <x:v>82602</x:v>
      </x:c>
      <x:c r="F10" s="213" t="n">
        <x:v>80794</x:v>
      </x:c>
      <x:c r="G10" t="str">
        <x:v>S02</x:v>
      </x:c>
      <x:c r="H10" s="4"/>
      <x:c r="I10" s="4"/>
      <x:c r="J10" s="4"/>
      <x:c r="K10" s="4"/>
      <x:c r="L10" s="4"/>
      <x:c r="M10" s="4"/>
    </x:row>
    <x:row r="11">
      <x:c r="A11" s="79"/>
      <x:c r="C11" s="104" t="str">
        <x:v>Operating profit / EBIT</x:v>
      </x:c>
      <x:c r="D11" s="117" t="n">
        <x:f>D9-D10</x:f>
        <x:v>9141</x:v>
      </x:c>
      <x:c r="E11" s="117" t="n">
        <x:f>E9-E10</x:f>
        <x:v>8468</x:v>
      </x:c>
      <x:c r="F11" s="117" t="n">
        <x:f>F9-F10</x:f>
        <x:v>7867</x:v>
      </x:c>
      <x:c r="G11" t="str">
        <x:v>Calculated</x:v>
      </x:c>
      <x:c r="H11" s="4"/>
      <x:c r="I11" s="4"/>
      <x:c r="J11" s="4"/>
      <x:c r="K11" s="4"/>
      <x:c r="L11" s="4"/>
      <x:c r="M11" s="4"/>
    </x:row>
    <x:row r="12">
      <x:c r="A12" s="79"/>
      <x:c r="C12" t="str">
        <x:v>Depreciation and amortisation</x:v>
      </x:c>
      <x:c r="D12" s="214" t="n">
        <x:v>3366</x:v>
      </x:c>
      <x:c r="E12" s="215" t="n">
        <x:v>3609</x:v>
      </x:c>
      <x:c r="F12" s="216" t="n">
        <x:v>3746</x:v>
      </x:c>
      <x:c r="G12" t="str">
        <x:v>S02</x:v>
      </x:c>
      <x:c r="H12" s="4"/>
      <x:c r="I12" s="4"/>
      <x:c r="J12" s="4"/>
      <x:c r="K12" s="4"/>
      <x:c r="L12" s="4"/>
      <x:c r="M12" s="4"/>
    </x:row>
    <x:row r="13">
      <x:c r="A13" s="79"/>
      <x:c r="C13" s="104" t="str">
        <x:v>Reported EBITDA</x:v>
      </x:c>
      <x:c r="D13" s="117" t="n">
        <x:f>D11+D12</x:f>
        <x:v>12507</x:v>
      </x:c>
      <x:c r="E13" s="117" t="n">
        <x:f>E11+E12</x:f>
        <x:v>12077</x:v>
      </x:c>
      <x:c r="F13" s="117" t="n">
        <x:f>F11+F12</x:f>
        <x:v>11613</x:v>
      </x:c>
      <x:c r="G13" t="str">
        <x:v>Calculated</x:v>
      </x:c>
      <x:c r="H13" s="4"/>
      <x:c r="I13" s="4"/>
      <x:c r="J13" s="4"/>
      <x:c r="K13" s="4"/>
      <x:c r="L13" s="4"/>
      <x:c r="M13" s="4"/>
    </x:row>
    <x:row r="14">
      <x:c r="A14" s="79"/>
      <x:c r="C14" t="str">
        <x:v>Investment income / (expense) and other</x:v>
      </x:c>
      <x:c r="D14" s="208" t="n">
        <x:v>219</x:v>
      </x:c>
      <x:c r="E14" s="209" t="n">
        <x:v>-160</x:v>
      </x:c>
      <x:c r="F14" s="210" t="n">
        <x:v>314</x:v>
      </x:c>
      <x:c r="G14" t="str">
        <x:v>S02</x:v>
      </x:c>
      <x:c r="H14" s="4"/>
      <x:c r="I14" s="4"/>
      <x:c r="J14" s="4"/>
      <x:c r="K14" s="4"/>
      <x:c r="L14" s="4"/>
      <x:c r="M14" s="4"/>
    </x:row>
    <x:row r="15">
      <x:c r="A15" s="79"/>
      <x:c r="C15" t="str">
        <x:v>Interest expense</x:v>
      </x:c>
      <x:c r="D15" s="217" t="n">
        <x:v>-787</x:v>
      </x:c>
      <x:c r="E15" s="218" t="n">
        <x:v>-866</x:v>
      </x:c>
      <x:c r="F15" s="219" t="n">
        <x:v>-1017</x:v>
      </x:c>
      <x:c r="G15" t="str">
        <x:v>S02</x:v>
      </x:c>
      <x:c r="H15" s="4"/>
      <x:c r="I15" s="4"/>
      <x:c r="J15" s="4"/>
      <x:c r="K15" s="4"/>
      <x:c r="L15" s="4"/>
      <x:c r="M15" s="4"/>
    </x:row>
    <x:row r="16">
      <x:c r="A16" s="79"/>
      <x:c r="C16" t="str">
        <x:v>Income before income taxes</x:v>
      </x:c>
      <x:c r="D16" s="217" t="n">
        <x:v>8573</x:v>
      </x:c>
      <x:c r="E16" s="218" t="n">
        <x:v>7442</x:v>
      </x:c>
      <x:c r="F16" s="219" t="n">
        <x:v>7164</x:v>
      </x:c>
      <x:c r="G16" t="str">
        <x:v>S02</x:v>
      </x:c>
      <x:c r="H16" s="4"/>
      <x:c r="I16" s="4"/>
      <x:c r="J16" s="4"/>
      <x:c r="K16" s="4"/>
      <x:c r="L16" s="4"/>
      <x:c r="M16" s="4"/>
    </x:row>
    <x:row r="17">
      <x:c r="A17" s="79"/>
      <x:c r="C17" t="str">
        <x:v>Income tax expense</x:v>
      </x:c>
      <x:c r="D17" s="217" t="n">
        <x:v>-1865</x:v>
      </x:c>
      <x:c r="E17" s="218" t="n">
        <x:v>-1660</x:v>
      </x:c>
      <x:c r="F17" s="219" t="n">
        <x:v>-1592</x:v>
      </x:c>
      <x:c r="G17" t="str">
        <x:v>S02</x:v>
      </x:c>
      <x:c r="H17" s="4"/>
      <x:c r="I17" s="4"/>
      <x:c r="J17" s="4"/>
      <x:c r="K17" s="4"/>
      <x:c r="L17" s="4"/>
      <x:c r="M17" s="4"/>
    </x:row>
    <x:row r="18">
      <x:c r="A18" s="79"/>
      <x:c r="C18" s="104" t="str">
        <x:v>Net income</x:v>
      </x:c>
      <x:c r="D18" s="220" t="n">
        <x:v>6708</x:v>
      </x:c>
      <x:c r="E18" s="221" t="n">
        <x:v>5782</x:v>
      </x:c>
      <x:c r="F18" s="222" t="n">
        <x:v>5572</x:v>
      </x:c>
      <x:c r="G18" t="str">
        <x:v>S02</x:v>
      </x:c>
      <x:c r="H18" s="4"/>
      <x:c r="I18" s="4"/>
      <x:c r="J18" s="4"/>
      <x:c r="K18" s="4"/>
      <x:c r="L18" s="4"/>
      <x:c r="M18" s="4"/>
    </x:row>
    <x:row r="19">
      <x:c r="A19" s="79"/>
      <x:c r="C19" t="str">
        <x:v>Diluted shares</x:v>
      </x:c>
      <x:c r="D19" s="217" t="n">
        <x:v>860</x:v>
      </x:c>
      <x:c r="E19" s="218" t="n">
        <x:v>857</x:v>
      </x:c>
      <x:c r="F19" s="219" t="n">
        <x:v>849</x:v>
      </x:c>
      <x:c r="G19" t="str">
        <x:v>S02</x:v>
      </x:c>
      <x:c r="H19" s="4"/>
      <x:c r="I19" s="4"/>
      <x:c r="J19" s="4"/>
      <x:c r="K19" s="4"/>
      <x:c r="L19" s="4"/>
      <x:c r="M19" s="4"/>
    </x:row>
    <x:row r="20">
      <x:c r="A20" s="79"/>
      <x:c r="C20" t="str">
        <x:v>Diluted EPS</x:v>
      </x:c>
      <x:c r="D20" s="223" t="n">
        <x:v>7.8</x:v>
      </x:c>
      <x:c r="E20" s="224" t="n">
        <x:v>6.75</x:v>
      </x:c>
      <x:c r="F20" s="225" t="n">
        <x:v>6.56</x:v>
      </x:c>
      <x:c r="G20" t="str">
        <x:v>S02</x:v>
      </x:c>
      <x:c r="H20" s="4"/>
      <x:c r="I20" s="4"/>
      <x:c r="J20" s="4"/>
      <x:c r="K20" s="4"/>
      <x:c r="L20" s="4"/>
      <x:c r="M20" s="4"/>
    </x:row>
    <x:row r="21">
      <x:c r="A21" s="79"/>
      <x:c r="C21"/>
      <x:c r="D21"/>
      <x:c r="E21"/>
      <x:c r="F21"/>
      <x:c r="G21"/>
      <x:c r="H21" s="4"/>
      <x:c r="I21" s="4"/>
      <x:c r="J21" s="4"/>
      <x:c r="K21" s="4"/>
      <x:c r="L21" s="4"/>
      <x:c r="M21" s="4"/>
    </x:row>
    <x:row r="22">
      <x:c r="A22" s="79"/>
      <x:c r="C22"/>
      <x:c r="D22"/>
      <x:c r="E22"/>
      <x:c r="F22"/>
      <x:c r="G22"/>
      <x:c r="H22" s="4"/>
      <x:c r="I22" s="4"/>
      <x:c r="J22" s="4"/>
      <x:c r="K22" s="4"/>
      <x:c r="L22" s="4"/>
      <x:c r="M22" s="4"/>
    </x:row>
    <x:row r="23">
      <x:c r="A23" s="79"/>
      <x:c r="C23" s="182" t="str">
        <x:v>Selected balance sheet</x:v>
      </x:c>
      <x:c r="D23" s="183"/>
      <x:c r="E23" s="183"/>
      <x:c r="F23" s="183"/>
      <x:c r="G23" s="184"/>
      <x:c r="H23" s="4"/>
      <x:c r="I23" s="4"/>
      <x:c r="J23" s="4"/>
      <x:c r="K23" s="4"/>
      <x:c r="L23" s="4"/>
      <x:c r="M23" s="4"/>
    </x:row>
    <x:row r="24">
      <x:c r="A24" s="79"/>
      <x:c r="C24"/>
      <x:c r="D24"/>
      <x:c r="E24"/>
      <x:c r="F24"/>
      <x:c r="G24"/>
      <x:c r="H24" s="4"/>
      <x:c r="I24" s="4"/>
      <x:c r="J24" s="4"/>
      <x:c r="K24" s="4"/>
      <x:c r="L24" s="4"/>
      <x:c r="M24" s="4"/>
    </x:row>
    <x:row r="25">
      <x:c r="A25" s="79"/>
      <x:c r="C25" s="187" t="str">
        <x:v>Metric</x:v>
      </x:c>
      <x:c r="D25" s="187" t="str">
        <x:v>FY:23A</x:v>
      </x:c>
      <x:c r="E25" s="187" t="str">
        <x:v>FY:24A</x:v>
      </x:c>
      <x:c r="F25" s="187" t="str">
        <x:v>FY:25A</x:v>
      </x:c>
      <x:c r="G25" s="187" t="str">
        <x:v>Source ID</x:v>
      </x:c>
      <x:c r="H25" s="4"/>
      <x:c r="I25" s="4"/>
      <x:c r="J25" s="4"/>
      <x:c r="K25" s="4"/>
      <x:c r="L25" s="4"/>
      <x:c r="M25" s="4"/>
    </x:row>
    <x:row r="26">
      <x:c r="A26" s="79"/>
      <x:c r="C26" t="str">
        <x:v>Cash and cash equivalents</x:v>
      </x:c>
      <x:c r="D26" s="208" t="n">
        <x:v>3206</x:v>
      </x:c>
      <x:c r="E26" s="209" t="n">
        <x:v>6112</x:v>
      </x:c>
      <x:c r="F26" s="210" t="n">
        <x:v>5887</x:v>
      </x:c>
      <x:c r="G26" t="str">
        <x:v>S02 / S06</x:v>
      </x:c>
      <x:c r="H26" s="4"/>
      <x:c r="I26" s="4"/>
      <x:c r="J26" s="4"/>
      <x:c r="K26" s="4"/>
      <x:c r="L26" s="4"/>
      <x:c r="M26" s="4"/>
    </x:row>
    <x:row r="27">
      <x:c r="A27" s="79"/>
      <x:c r="C27" t="str">
        <x:v>Accounts receivable</x:v>
      </x:c>
      <x:c r="D27" s="217" t="n">
        <x:v>11216</x:v>
      </x:c>
      <x:c r="E27" s="218" t="n">
        <x:v>10871</x:v>
      </x:c>
      <x:c r="F27" s="219" t="n">
        <x:v>11209</x:v>
      </x:c>
      <x:c r="G27" t="str">
        <x:v>S02 / S06</x:v>
      </x:c>
      <x:c r="H27" s="4"/>
      <x:c r="I27" s="4"/>
      <x:c r="J27" s="4"/>
      <x:c r="K27" s="4"/>
      <x:c r="L27" s="4"/>
      <x:c r="M27" s="4"/>
    </x:row>
    <x:row r="28">
      <x:c r="A28" s="79"/>
      <x:c r="C28" t="str">
        <x:v>Total current assets</x:v>
      </x:c>
      <x:c r="D28" s="217" t="n">
        <x:v>19413</x:v>
      </x:c>
      <x:c r="E28" s="218" t="n">
        <x:v>19310</x:v>
      </x:c>
      <x:c r="F28" s="219" t="n">
        <x:v>19045</x:v>
      </x:c>
      <x:c r="G28" t="str">
        <x:v>S02 / S06</x:v>
      </x:c>
      <x:c r="H28" s="4"/>
      <x:c r="I28" s="4"/>
      <x:c r="J28" s="4"/>
      <x:c r="K28" s="4"/>
      <x:c r="L28" s="4"/>
      <x:c r="M28" s="4"/>
    </x:row>
    <x:row r="29">
      <x:c r="A29" s="79"/>
      <x:c r="C29" t="str">
        <x:v>Property, plant and equipment, net</x:v>
      </x:c>
      <x:c r="D29" s="217" t="n">
        <x:v>36945</x:v>
      </x:c>
      <x:c r="E29" s="218" t="n">
        <x:v>37179</x:v>
      </x:c>
      <x:c r="F29" s="219" t="n">
        <x:v>37731</x:v>
      </x:c>
      <x:c r="G29" t="str">
        <x:v>S02 / S06</x:v>
      </x:c>
      <x:c r="H29" s="4"/>
      <x:c r="I29" s="4"/>
      <x:c r="J29" s="4"/>
      <x:c r="K29" s="4"/>
      <x:c r="L29" s="4"/>
      <x:c r="M29" s="4"/>
    </x:row>
    <x:row r="30">
      <x:c r="A30" s="79"/>
      <x:c r="C30" t="str">
        <x:v>Total assets</x:v>
      </x:c>
      <x:c r="D30" s="217" t="n">
        <x:v>70857</x:v>
      </x:c>
      <x:c r="E30" s="218" t="n">
        <x:v>70070</x:v>
      </x:c>
      <x:c r="F30" s="219" t="n">
        <x:v>73090</x:v>
      </x:c>
      <x:c r="G30" t="str">
        <x:v>S02 / S06</x:v>
      </x:c>
      <x:c r="H30" s="4"/>
      <x:c r="I30" s="4"/>
      <x:c r="J30" s="4"/>
      <x:c r="K30" s="4"/>
      <x:c r="L30" s="4"/>
      <x:c r="M30" s="4"/>
    </x:row>
    <x:row r="31">
      <x:c r="A31" s="79"/>
      <x:c r="C31" t="str">
        <x:v>Accounts payable</x:v>
      </x:c>
      <x:c r="D31" s="217" t="n">
        <x:v>6340</x:v>
      </x:c>
      <x:c r="E31" s="218" t="n">
        <x:v>6302</x:v>
      </x:c>
      <x:c r="F31" s="219" t="n">
        <x:v>6633</x:v>
      </x:c>
      <x:c r="G31" t="str">
        <x:v>S02 / S06</x:v>
      </x:c>
      <x:c r="H31" s="4"/>
      <x:c r="I31" s="4"/>
      <x:c r="J31" s="4"/>
      <x:c r="K31" s="4"/>
      <x:c r="L31" s="4"/>
      <x:c r="M31" s="4"/>
    </x:row>
    <x:row r="32">
      <x:c r="A32" s="79"/>
      <x:c r="C32" t="str">
        <x:v>Total current liabilities</x:v>
      </x:c>
      <x:c r="D32" s="217" t="n">
        <x:v>17676</x:v>
      </x:c>
      <x:c r="E32" s="218" t="n">
        <x:v>16441</x:v>
      </x:c>
      <x:c r="F32" s="219" t="n">
        <x:v>15620</x:v>
      </x:c>
      <x:c r="G32" t="str">
        <x:v>S02 / S06</x:v>
      </x:c>
      <x:c r="H32" s="4"/>
      <x:c r="I32" s="4"/>
      <x:c r="J32" s="4"/>
      <x:c r="K32" s="4"/>
      <x:c r="L32" s="4"/>
      <x:c r="M32" s="4"/>
    </x:row>
    <x:row r="33">
      <x:c r="A33" s="79"/>
      <x:c r="C33" t="str">
        <x:v>Current debt and finance leases</x:v>
      </x:c>
      <x:c r="D33" s="217" t="n">
        <x:v>3348</x:v>
      </x:c>
      <x:c r="E33" s="218" t="n">
        <x:v>1838</x:v>
      </x:c>
      <x:c r="F33" s="219" t="n">
        <x:v>848</x:v>
      </x:c>
      <x:c r="G33" t="str">
        <x:v>S02 / S06</x:v>
      </x:c>
      <x:c r="H33" s="4"/>
      <x:c r="I33" s="4"/>
      <x:c r="J33" s="4"/>
      <x:c r="K33" s="4"/>
      <x:c r="L33" s="4"/>
      <x:c r="M33" s="4"/>
    </x:row>
    <x:row r="34">
      <x:c r="A34" s="79"/>
      <x:c r="C34" t="str">
        <x:v>Long-term debt and finance leases</x:v>
      </x:c>
      <x:c r="D34" s="211" t="n">
        <x:v>18916</x:v>
      </x:c>
      <x:c r="E34" s="212" t="n">
        <x:v>19446</x:v>
      </x:c>
      <x:c r="F34" s="213" t="n">
        <x:v>23519</x:v>
      </x:c>
      <x:c r="G34" t="str">
        <x:v>S02 / S06</x:v>
      </x:c>
      <x:c r="H34" s="4"/>
      <x:c r="I34" s="4"/>
      <x:c r="J34" s="4"/>
      <x:c r="K34" s="4"/>
      <x:c r="L34" s="4"/>
      <x:c r="M34" s="4"/>
    </x:row>
    <x:row r="35">
      <x:c r="A35" s="79"/>
      <x:c r="C35" s="104" t="str">
        <x:v>Total debt</x:v>
      </x:c>
      <x:c r="D35" s="117" t="n">
        <x:f>SUM(D33:D34)</x:f>
        <x:v>22264</x:v>
      </x:c>
      <x:c r="E35" s="117" t="n">
        <x:f>SUM(E33:E34)</x:f>
        <x:v>21284</x:v>
      </x:c>
      <x:c r="F35" s="117" t="n">
        <x:f>SUM(F33:F34)</x:f>
        <x:v>24367</x:v>
      </x:c>
      <x:c r="G35" t="str">
        <x:v>Calculated</x:v>
      </x:c>
      <x:c r="H35" s="4"/>
      <x:c r="I35" s="4"/>
      <x:c r="J35" s="4"/>
      <x:c r="K35" s="4"/>
      <x:c r="L35" s="4"/>
      <x:c r="M35" s="4"/>
    </x:row>
    <x:row r="36">
      <x:c r="A36" s="79"/>
      <x:c r="C36" t="str">
        <x:v>Total shareowners’ equity</x:v>
      </x:c>
      <x:c r="D36" s="214" t="n">
        <x:v>17314</x:v>
      </x:c>
      <x:c r="E36" s="215" t="n">
        <x:v>16743</x:v>
      </x:c>
      <x:c r="F36" s="216" t="n">
        <x:v>16255</x:v>
      </x:c>
      <x:c r="G36" t="str">
        <x:v>S02 / S06</x:v>
      </x:c>
      <x:c r="H36" s="4"/>
      <x:c r="I36" s="4"/>
      <x:c r="J36" s="4"/>
      <x:c r="K36" s="4"/>
      <x:c r="L36" s="4"/>
      <x:c r="M36" s="4"/>
    </x:row>
    <x:row r="37">
      <x:c r="A37" s="79"/>
      <x:c r="C37"/>
      <x:c r="D37"/>
      <x:c r="E37"/>
      <x:c r="F37"/>
      <x:c r="G37"/>
      <x:c r="H37" s="4"/>
      <x:c r="I37" s="4"/>
      <x:c r="J37" s="4"/>
      <x:c r="K37" s="4"/>
      <x:c r="L37" s="4"/>
      <x:c r="M37" s="4"/>
    </x:row>
    <x:row r="38">
      <x:c r="A38" s="79"/>
      <x:c r="C38"/>
      <x:c r="D38"/>
      <x:c r="E38"/>
      <x:c r="F38"/>
      <x:c r="G38"/>
      <x:c r="H38" s="4"/>
      <x:c r="I38" s="4"/>
      <x:c r="J38" s="4"/>
      <x:c r="K38" s="4"/>
      <x:c r="L38" s="4"/>
      <x:c r="M38" s="4"/>
    </x:row>
    <x:row r="39">
      <x:c r="A39" s="79"/>
      <x:c r="C39" s="182" t="str">
        <x:v>Cash flow</x:v>
      </x:c>
      <x:c r="D39" s="183"/>
      <x:c r="E39" s="183"/>
      <x:c r="F39" s="183"/>
      <x:c r="G39" s="184"/>
      <x:c r="H39" s="4"/>
      <x:c r="I39" s="4"/>
      <x:c r="J39" s="4"/>
      <x:c r="K39" s="4"/>
      <x:c r="L39" s="4"/>
      <x:c r="M39" s="4"/>
    </x:row>
    <x:row r="40">
      <x:c r="A40" s="79"/>
      <x:c r="C40"/>
      <x:c r="D40"/>
      <x:c r="E40"/>
      <x:c r="F40"/>
      <x:c r="G40"/>
      <x:c r="H40" s="4"/>
      <x:c r="I40" s="4"/>
      <x:c r="J40" s="4"/>
      <x:c r="K40" s="4"/>
      <x:c r="L40" s="4"/>
      <x:c r="M40" s="4"/>
    </x:row>
    <x:row r="41">
      <x:c r="A41" s="79"/>
      <x:c r="C41" s="187" t="str">
        <x:v>Metric</x:v>
      </x:c>
      <x:c r="D41" s="187" t="str">
        <x:v>FY:23A</x:v>
      </x:c>
      <x:c r="E41" s="187" t="str">
        <x:v>FY:24A</x:v>
      </x:c>
      <x:c r="F41" s="187" t="str">
        <x:v>FY:25A</x:v>
      </x:c>
      <x:c r="G41" s="187" t="str">
        <x:v>Source ID</x:v>
      </x:c>
      <x:c r="H41" s="4"/>
      <x:c r="I41" s="4"/>
      <x:c r="J41" s="4"/>
      <x:c r="K41" s="4"/>
      <x:c r="L41" s="4"/>
      <x:c r="M41" s="4"/>
    </x:row>
    <x:row r="42">
      <x:c r="A42" s="79"/>
      <x:c r="C42" t="str">
        <x:v>Net cash from operating activities</x:v>
      </x:c>
      <x:c r="D42" s="208" t="n">
        <x:v>10238</x:v>
      </x:c>
      <x:c r="E42" s="209" t="n">
        <x:v>10122</x:v>
      </x:c>
      <x:c r="F42" s="210" t="n">
        <x:v>8450</x:v>
      </x:c>
      <x:c r="G42" t="str">
        <x:v>S02</x:v>
      </x:c>
      <x:c r="H42" s="4"/>
      <x:c r="I42" s="4"/>
      <x:c r="J42" s="4"/>
      <x:c r="K42" s="4"/>
      <x:c r="L42" s="4"/>
      <x:c r="M42" s="4"/>
    </x:row>
    <x:row r="43">
      <x:c r="A43" s="79"/>
      <x:c r="C43" t="str">
        <x:v>Capital expenditures</x:v>
      </x:c>
      <x:c r="D43" s="211" t="n">
        <x:v>-5158</x:v>
      </x:c>
      <x:c r="E43" s="212" t="n">
        <x:v>-3909</x:v>
      </x:c>
      <x:c r="F43" s="213" t="n">
        <x:v>-3685</x:v>
      </x:c>
      <x:c r="G43" t="str">
        <x:v>S02</x:v>
      </x:c>
      <x:c r="H43" s="4"/>
      <x:c r="I43" s="4"/>
      <x:c r="J43" s="4"/>
      <x:c r="K43" s="4"/>
      <x:c r="L43" s="4"/>
      <x:c r="M43" s="4"/>
    </x:row>
    <x:row r="44">
      <x:c r="A44" s="79"/>
      <x:c r="C44" s="104" t="str">
        <x:v>Free cash flow before acquisitions</x:v>
      </x:c>
      <x:c r="D44" s="117" t="n">
        <x:f>SUM(D42:D43)</x:f>
        <x:v>5080</x:v>
      </x:c>
      <x:c r="E44" s="117" t="n">
        <x:f>SUM(E42:E43)</x:f>
        <x:v>6213</x:v>
      </x:c>
      <x:c r="F44" s="117" t="n">
        <x:f>SUM(F42:F43)</x:f>
        <x:v>4765</x:v>
      </x:c>
      <x:c r="G44" t="str">
        <x:v>Calculated</x:v>
      </x:c>
      <x:c r="H44" s="4"/>
      <x:c r="I44" s="4"/>
      <x:c r="J44" s="4"/>
      <x:c r="K44" s="4"/>
      <x:c r="L44" s="4"/>
      <x:c r="M44" s="4"/>
    </x:row>
    <x:row r="45">
      <x:c r="A45" s="79"/>
      <x:c r="C45"/>
      <x:c r="D45"/>
      <x:c r="E45"/>
      <x:c r="F45"/>
      <x:c r="G45"/>
      <x:c r="H45" s="4"/>
      <x:c r="I45" s="4"/>
      <x:c r="J45" s="4"/>
      <x:c r="K45" s="4"/>
      <x:c r="L45" s="4"/>
      <x:c r="M45" s="4"/>
    </x:row>
    <x:row r="46">
      <x:c r="A46" s="79"/>
      <x:c r="C46"/>
      <x:c r="D46"/>
      <x:c r="E46"/>
      <x:c r="F46"/>
      <x:c r="G46"/>
      <x:c r="H46" s="4"/>
      <x:c r="I46" s="4"/>
      <x:c r="J46" s="4"/>
      <x:c r="K46" s="4"/>
      <x:c r="L46" s="4"/>
      <x:c r="M46" s="4"/>
    </x:row>
    <x:row r="47">
      <x:c r="A47" s="79"/>
      <x:c r="C47" s="182" t="str">
        <x:v>Operating normalization</x:v>
      </x:c>
      <x:c r="D47" s="183"/>
      <x:c r="E47" s="183"/>
      <x:c r="F47" s="183"/>
      <x:c r="G47" s="184"/>
      <x:c r="H47" s="4"/>
      <x:c r="I47" s="4"/>
      <x:c r="J47" s="4"/>
      <x:c r="K47" s="4"/>
      <x:c r="L47" s="4"/>
      <x:c r="M47" s="4"/>
    </x:row>
    <x:row r="48">
      <x:c r="A48" s="79"/>
      <x:c r="C48"/>
      <x:c r="D48"/>
      <x:c r="E48"/>
      <x:c r="F48"/>
      <x:c r="G48"/>
      <x:c r="H48" s="4"/>
      <x:c r="I48" s="4"/>
      <x:c r="J48" s="4"/>
      <x:c r="K48" s="4"/>
      <x:c r="L48" s="4"/>
      <x:c r="M48" s="4"/>
    </x:row>
    <x:row r="49">
      <x:c r="A49" s="79"/>
      <x:c r="C49" s="187" t="str">
        <x:v>Metric</x:v>
      </x:c>
      <x:c r="D49" s="187" t="str">
        <x:v>FY:23A</x:v>
      </x:c>
      <x:c r="E49" s="187" t="str">
        <x:v>FY:24A</x:v>
      </x:c>
      <x:c r="F49" s="187" t="str">
        <x:v>FY:25A</x:v>
      </x:c>
      <x:c r="G49" s="187" t="str">
        <x:v>Source ID</x:v>
      </x:c>
      <x:c r="H49" s="4"/>
      <x:c r="I49" s="4"/>
      <x:c r="J49" s="4"/>
      <x:c r="K49" s="4"/>
      <x:c r="L49" s="4"/>
      <x:c r="M49" s="4"/>
    </x:row>
    <x:row r="50">
      <x:c r="A50" s="79"/>
      <x:c r="C50" t="str">
        <x:v>Reported operating profit</x:v>
      </x:c>
      <x:c r="D50" s="11" t="n">
        <x:f>D11</x:f>
        <x:v>9141</x:v>
      </x:c>
      <x:c r="E50" s="11" t="n">
        <x:f>E11</x:f>
        <x:v>8468</x:v>
      </x:c>
      <x:c r="F50" s="11" t="n">
        <x:f>F11</x:f>
        <x:v>7867</x:v>
      </x:c>
      <x:c r="G50" t="str">
        <x:v>Calculated</x:v>
      </x:c>
      <x:c r="H50" s="4"/>
      <x:c r="I50" s="4"/>
      <x:c r="J50" s="4"/>
      <x:c r="K50" s="4"/>
      <x:c r="L50" s="4"/>
      <x:c r="M50" s="4"/>
    </x:row>
    <x:row r="51">
      <x:c r="A51" s="79"/>
      <x:c r="C51" t="str">
        <x:v>Transformation strategy costs</x:v>
      </x:c>
      <x:c r="D51" s="208" t="n">
        <x:v>435</x:v>
      </x:c>
      <x:c r="E51" s="209" t="n">
        <x:v>322</x:v>
      </x:c>
      <x:c r="F51" s="210" t="n">
        <x:v>593</x:v>
      </x:c>
      <x:c r="G51" t="str">
        <x:v>S02 / S06</x:v>
      </x:c>
      <x:c r="H51" s="4"/>
      <x:c r="I51" s="4"/>
      <x:c r="J51" s="4"/>
      <x:c r="K51" s="4"/>
      <x:c r="L51" s="4"/>
      <x:c r="M51" s="4"/>
    </x:row>
    <x:row r="52">
      <x:c r="A52" s="79"/>
      <x:c r="C52" t="str">
        <x:v>Goodwill and asset impairment charges</x:v>
      </x:c>
      <x:c r="D52" s="217" t="n">
        <x:v>236</x:v>
      </x:c>
      <x:c r="E52" s="218" t="n">
        <x:v>108</x:v>
      </x:c>
      <x:c r="F52" s="219" t="n">
        <x:v>182</x:v>
      </x:c>
      <x:c r="G52" t="str">
        <x:v>S02 / S06</x:v>
      </x:c>
      <x:c r="H52" s="4"/>
      <x:c r="I52" s="4"/>
      <x:c r="J52" s="4"/>
      <x:c r="K52" s="4"/>
      <x:c r="L52" s="4"/>
      <x:c r="M52" s="4"/>
    </x:row>
    <x:row r="53">
      <x:c r="A53" s="79"/>
      <x:c r="C53" t="str">
        <x:v>Net loss / (gain) on divestiture</x:v>
      </x:c>
      <x:c r="D53" s="217" t="n">
        <x:v>0</x:v>
      </x:c>
      <x:c r="E53" s="218" t="n">
        <x:v>-156</x:v>
      </x:c>
      <x:c r="F53" s="219" t="n">
        <x:v>19</x:v>
      </x:c>
      <x:c r="G53" t="str">
        <x:v>S02 / S06</x:v>
      </x:c>
      <x:c r="H53" s="4"/>
      <x:c r="I53" s="4"/>
      <x:c r="J53" s="4"/>
      <x:c r="K53" s="4"/>
      <x:c r="L53" s="4"/>
      <x:c r="M53" s="4"/>
    </x:row>
    <x:row r="54">
      <x:c r="A54" s="79"/>
      <x:c r="C54" t="str">
        <x:v>Regulatory, compensation and pension items</x:v>
      </x:c>
      <x:c r="D54" s="211" t="n">
        <x:v>61</x:v>
      </x:c>
      <x:c r="E54" s="212" t="n">
        <x:v>152</x:v>
      </x:c>
      <x:c r="F54" s="213" t="n">
        <x:v>0</x:v>
      </x:c>
      <x:c r="G54" t="str">
        <x:v>S02 / S06</x:v>
      </x:c>
      <x:c r="H54" s="4"/>
      <x:c r="I54" s="4"/>
      <x:c r="J54" s="4"/>
      <x:c r="K54" s="4"/>
      <x:c r="L54" s="4"/>
      <x:c r="M54" s="4"/>
    </x:row>
    <x:row r="55">
      <x:c r="A55" s="79"/>
      <x:c r="C55" s="104" t="str">
        <x:v>Total operating adjustments</x:v>
      </x:c>
      <x:c r="D55" s="117" t="n">
        <x:f>SUM(D51:D54)</x:f>
        <x:v>732</x:v>
      </x:c>
      <x:c r="E55" s="117" t="n">
        <x:f>SUM(E51:E54)</x:f>
        <x:v>426</x:v>
      </x:c>
      <x:c r="F55" s="117" t="n">
        <x:f>SUM(F51:F54)</x:f>
        <x:v>794</x:v>
      </x:c>
      <x:c r="G55" t="str">
        <x:v>Calculated</x:v>
      </x:c>
      <x:c r="H55" s="4"/>
      <x:c r="I55" s="4"/>
      <x:c r="J55" s="4"/>
      <x:c r="K55" s="4"/>
      <x:c r="L55" s="4"/>
      <x:c r="M55" s="4"/>
    </x:row>
    <x:row r="56">
      <x:c r="A56" s="79"/>
      <x:c r="C56" s="104" t="str">
        <x:v>Adjusted operating profit</x:v>
      </x:c>
      <x:c r="D56" s="117" t="n">
        <x:f>SUM(D50,D55)</x:f>
        <x:v>9873</x:v>
      </x:c>
      <x:c r="E56" s="117" t="n">
        <x:f>SUM(E50,E55)</x:f>
        <x:v>8894</x:v>
      </x:c>
      <x:c r="F56" s="117" t="n">
        <x:f>SUM(F50,F55)</x:f>
        <x:v>8661</x:v>
      </x:c>
      <x:c r="G56" t="str">
        <x:v>Calculated</x:v>
      </x:c>
      <x:c r="H56" s="4"/>
      <x:c r="I56" s="4"/>
      <x:c r="J56" s="4"/>
      <x:c r="K56" s="4"/>
      <x:c r="L56" s="4"/>
      <x:c r="M56" s="4"/>
    </x:row>
    <x:row r="57">
      <x:c r="A57" s="79"/>
      <x:c r="C57" s="104" t="str">
        <x:v>Adjusted EBITDA</x:v>
      </x:c>
      <x:c r="D57" s="117" t="n">
        <x:f>SUM(D56,D12)</x:f>
        <x:v>13239</x:v>
      </x:c>
      <x:c r="E57" s="117" t="n">
        <x:f>SUM(E56,E12)</x:f>
        <x:v>12503</x:v>
      </x:c>
      <x:c r="F57" s="117" t="n">
        <x:f>SUM(F56,F12)</x:f>
        <x:v>12407</x:v>
      </x:c>
      <x:c r="G57" t="str">
        <x:v>Calculated</x:v>
      </x:c>
      <x:c r="H57" s="4"/>
      <x:c r="I57" s="4"/>
      <x:c r="J57" s="4"/>
      <x:c r="K57" s="4"/>
      <x:c r="L57" s="4"/>
      <x:c r="M57" s="4"/>
    </x:row>
    <x:row r="58">
      <x:c r="A58" s="79"/>
      <x:c r="C58"/>
      <x:c r="D58"/>
      <x:c r="E58"/>
      <x:c r="F58"/>
      <x:c r="G58"/>
      <x:c r="H58" s="4"/>
      <x:c r="I58" s="4"/>
      <x:c r="J58" s="4"/>
      <x:c r="K58" s="4"/>
      <x:c r="L58" s="4"/>
      <x:c r="M58" s="4"/>
    </x:row>
    <x:row r="59">
      <x:c r="A59" s="79"/>
      <x:c r="C59"/>
      <x:c r="D59"/>
      <x:c r="E59"/>
      <x:c r="F59"/>
      <x:c r="G59"/>
      <x:c r="H59" s="4"/>
      <x:c r="I59" s="4"/>
      <x:c r="J59" s="4"/>
      <x:c r="K59" s="4"/>
      <x:c r="L59" s="4"/>
      <x:c r="M59" s="4"/>
    </x:row>
    <x:row r="60">
      <x:c r="A60" s="79"/>
      <x:c r="C60" s="182" t="str">
        <x:v>Key metrics</x:v>
      </x:c>
      <x:c r="D60" s="183"/>
      <x:c r="E60" s="183"/>
      <x:c r="F60" s="183"/>
      <x:c r="G60" s="184"/>
      <x:c r="H60" s="4"/>
      <x:c r="I60" s="4"/>
      <x:c r="J60" s="4"/>
      <x:c r="K60" s="4"/>
      <x:c r="L60" s="4"/>
      <x:c r="M60" s="4"/>
    </x:row>
    <x:row r="61">
      <x:c r="A61" s="79"/>
      <x:c r="C61"/>
      <x:c r="D61"/>
      <x:c r="E61"/>
      <x:c r="F61"/>
      <x:c r="G61"/>
      <x:c r="H61" s="4"/>
      <x:c r="I61" s="4"/>
      <x:c r="J61" s="4"/>
      <x:c r="K61" s="4"/>
      <x:c r="L61" s="4"/>
      <x:c r="M61" s="4"/>
    </x:row>
    <x:row r="62">
      <x:c r="A62" s="79"/>
      <x:c r="C62" s="187" t="str">
        <x:v>Metric</x:v>
      </x:c>
      <x:c r="D62" s="187" t="str">
        <x:v>FY:23A</x:v>
      </x:c>
      <x:c r="E62" s="187" t="str">
        <x:v>FY:24A</x:v>
      </x:c>
      <x:c r="F62" s="187" t="str">
        <x:v>FY:25A</x:v>
      </x:c>
      <x:c r="G62" s="187" t="str">
        <x:v>Source ID</x:v>
      </x:c>
      <x:c r="H62" s="4"/>
      <x:c r="I62" s="4"/>
      <x:c r="J62" s="4"/>
      <x:c r="K62" s="4"/>
      <x:c r="L62" s="4"/>
      <x:c r="M62" s="4"/>
    </x:row>
    <x:row r="63">
      <x:c r="A63" s="79"/>
      <x:c r="C63" t="str">
        <x:v>Revenue growth</x:v>
      </x:c>
      <x:c r="D63" s="76"/>
      <x:c r="E63" s="76" t="n">
        <x:f>E9/D9-1</x:f>
        <x:v>0.0012313375404031657</x:v>
      </x:c>
      <x:c r="F63" s="76" t="n">
        <x:f>F9/E9-1</x:f>
        <x:v>-0.026452179642033613</x:v>
      </x:c>
      <x:c r="G63" t="str">
        <x:v>Calculated</x:v>
      </x:c>
      <x:c r="H63" s="4"/>
      <x:c r="I63" s="4"/>
      <x:c r="J63" s="4"/>
      <x:c r="K63" s="4"/>
      <x:c r="L63" s="4"/>
      <x:c r="M63" s="4"/>
    </x:row>
    <x:row r="64">
      <x:c r="A64" s="79"/>
      <x:c r="C64" t="str">
        <x:v>Reported EBIT margin</x:v>
      </x:c>
      <x:c r="D64" s="76" t="n">
        <x:f>D11/D9</x:f>
        <x:v>0.10049693265023417</x:v>
      </x:c>
      <x:c r="E64" s="76" t="n">
        <x:f>E11/E9</x:f>
        <x:v>0.09298341934775448</x:v>
      </x:c>
      <x:c r="F64" s="76" t="n">
        <x:f>F11/F9</x:f>
        <x:v>0.08873123470296974</x:v>
      </x:c>
      <x:c r="G64" t="str">
        <x:v>Calculated</x:v>
      </x:c>
      <x:c r="H64" s="4"/>
      <x:c r="I64" s="4"/>
      <x:c r="J64" s="4"/>
      <x:c r="K64" s="4"/>
      <x:c r="L64" s="4"/>
      <x:c r="M64" s="4"/>
    </x:row>
    <x:row r="65">
      <x:c r="A65" s="79"/>
      <x:c r="C65" t="str">
        <x:v>Adjusted EBIT margin</x:v>
      </x:c>
      <x:c r="D65" s="76" t="n">
        <x:f>D56/D9</x:f>
        <x:v>0.10854460300358407</x:v>
      </x:c>
      <x:c r="E65" s="76" t="n">
        <x:f>E56/E9</x:f>
        <x:v>0.09766113978258482</x:v>
      </x:c>
      <x:c r="F65" s="76" t="n">
        <x:f>F56/F9</x:f>
        <x:v>0.09768669426241526</x:v>
      </x:c>
      <x:c r="G65" t="str">
        <x:v>Calculated</x:v>
      </x:c>
      <x:c r="H65" s="4"/>
      <x:c r="I65" s="4"/>
      <x:c r="J65" s="4"/>
      <x:c r="K65" s="4"/>
      <x:c r="L65" s="4"/>
      <x:c r="M65" s="4"/>
    </x:row>
    <x:row r="66">
      <x:c r="A66" s="79"/>
      <x:c r="C66" t="str">
        <x:v>Adjusted EBITDA margin</x:v>
      </x:c>
      <x:c r="D66" s="76" t="n">
        <x:f>D57/D9</x:f>
        <x:v>0.14555069372677498</x:v>
      </x:c>
      <x:c r="E66" s="76" t="n">
        <x:f>E57/E9</x:f>
        <x:v>0.13728999670583067</x:v>
      </x:c>
      <x:c r="F66" s="76" t="n">
        <x:f>F57/F9</x:f>
        <x:v>0.13993751480357766</x:v>
      </x:c>
      <x:c r="G66" t="str">
        <x:v>Calculated</x:v>
      </x:c>
      <x:c r="H66" s="4"/>
      <x:c r="I66" s="4"/>
      <x:c r="J66" s="4"/>
      <x:c r="K66" s="4"/>
      <x:c r="L66" s="4"/>
      <x:c r="M66" s="4"/>
    </x:row>
    <x:row r="67">
      <x:c r="A67" s="79"/>
      <x:c r="C67" t="str">
        <x:v>Effective tax rate</x:v>
      </x:c>
      <x:c r="D67" s="76" t="n">
        <x:f>-D17/D16</x:f>
        <x:v>0.21754345036743264</x:v>
      </x:c>
      <x:c r="E67" s="76" t="n">
        <x:f>-E17/E16</x:f>
        <x:v>0.22305831765654394</x:v>
      </x:c>
      <x:c r="F67" s="76" t="n">
        <x:f>-F17/F16</x:f>
        <x:v>0.2222222222222222</x:v>
      </x:c>
      <x:c r="G67" t="str">
        <x:v>Calculated</x:v>
      </x:c>
      <x:c r="H67" s="4"/>
      <x:c r="I67" s="4"/>
      <x:c r="J67" s="4"/>
      <x:c r="K67" s="4"/>
      <x:c r="L67" s="4"/>
      <x:c r="M67" s="4"/>
    </x:row>
    <x:row r="68">
      <x:c r="A68" s="79"/>
      <x:c r="C68" t="str">
        <x:v>Net debt</x:v>
      </x:c>
      <x:c r="D68" s="11" t="n">
        <x:f>D35-D26</x:f>
        <x:v>19058</x:v>
      </x:c>
      <x:c r="E68" s="11" t="n">
        <x:f>E35-E26</x:f>
        <x:v>15172</x:v>
      </x:c>
      <x:c r="F68" s="11" t="n">
        <x:f>F35-F26</x:f>
        <x:v>18480</x:v>
      </x:c>
      <x:c r="G68" t="str">
        <x:v>Calculated</x:v>
      </x:c>
      <x:c r="H68" s="4"/>
      <x:c r="I68" s="4"/>
      <x:c r="J68" s="4"/>
      <x:c r="K68" s="4"/>
      <x:c r="L68" s="4"/>
      <x:c r="M68" s="4"/>
    </x:row>
    <x:row r="69">
      <x:c r="A69" s="79"/>
      <x:c r="C69"/>
      <x:c r="D69"/>
      <x:c r="E69"/>
      <x:c r="F69"/>
      <x:c r="G69"/>
      <x:c r="H69" s="4"/>
      <x:c r="I69" s="4"/>
      <x:c r="J69" s="4"/>
      <x:c r="K69" s="4"/>
      <x:c r="L69" s="4"/>
      <x:c r="M69" s="4"/>
    </x:row>
    <x:row r="70">
      <x:c r="A70" s="79"/>
      <x:c r="C70"/>
      <x:c r="D70"/>
      <x:c r="E70"/>
      <x:c r="F70"/>
      <x:c r="G70"/>
      <x:c r="H70" s="4"/>
      <x:c r="I70" s="4"/>
      <x:c r="J70" s="4"/>
      <x:c r="K70" s="4"/>
      <x:c r="L70" s="4"/>
      <x:c r="M70" s="4"/>
    </x:row>
    <x:row r="71">
      <x:c r="A71" s="79"/>
      <x:c r="C71"/>
      <x:c r="D71"/>
      <x:c r="E71"/>
      <x:c r="F71"/>
      <x:c r="G71"/>
      <x:c r="H71" s="4"/>
      <x:c r="I71" s="4"/>
      <x:c r="J71" s="4"/>
      <x:c r="K71" s="4"/>
      <x:c r="L71" s="4"/>
      <x:c r="M71" s="4"/>
    </x:row>
    <x:row r="72">
      <x:c r="A72" s="79"/>
      <x:c r="C72"/>
      <x:c r="D72"/>
      <x:c r="E72"/>
      <x:c r="F72"/>
      <x:c r="G72"/>
      <x:c r="H72" s="4"/>
      <x:c r="I72" s="4"/>
      <x:c r="J72" s="4"/>
      <x:c r="K72" s="4"/>
      <x:c r="L72" s="4"/>
      <x:c r="M72" s="4"/>
    </x:row>
    <x:row r="73">
      <x:c r="A73" s="79"/>
      <x:c r="C73"/>
      <x:c r="D73"/>
      <x:c r="E73"/>
      <x:c r="F73"/>
      <x:c r="G73"/>
      <x:c r="H73" s="4"/>
      <x:c r="I73" s="4"/>
      <x:c r="J73" s="4"/>
      <x:c r="K73" s="4"/>
      <x:c r="L73" s="4"/>
      <x:c r="M73" s="4"/>
    </x:row>
    <x:row r="74">
      <x:c r="A74" s="79"/>
      <x:c r="C74"/>
      <x:c r="D74"/>
      <x:c r="E74"/>
      <x:c r="F74"/>
      <x:c r="G74"/>
      <x:c r="H74" s="4"/>
      <x:c r="I74" s="4"/>
      <x:c r="J74" s="4"/>
      <x:c r="K74" s="4"/>
      <x:c r="L74" s="4"/>
      <x:c r="M74" s="4"/>
    </x:row>
    <x:row r="75">
      <x:c r="A75" s="79"/>
      <x:c r="C75"/>
      <x:c r="D75"/>
      <x:c r="E75"/>
      <x:c r="F75"/>
      <x:c r="G75"/>
      <x:c r="H75" s="4"/>
      <x:c r="I75" s="4"/>
      <x:c r="J75" s="4"/>
      <x:c r="K75" s="4"/>
      <x:c r="L75" s="4"/>
      <x:c r="M75" s="4"/>
    </x:row>
    <x:row r="76">
      <x:c r="A76" s="79"/>
      <x:c r="C76"/>
      <x:c r="D76"/>
      <x:c r="E76"/>
      <x:c r="F76"/>
      <x:c r="G76"/>
      <x:c r="H76" s="4"/>
      <x:c r="I76" s="4"/>
      <x:c r="J76" s="4"/>
      <x:c r="K76" s="4"/>
      <x:c r="L76" s="4"/>
      <x:c r="M76" s="4"/>
    </x:row>
    <x:row r="77">
      <x:c r="A77" s="79"/>
      <x:c r="C77"/>
      <x:c r="D77"/>
      <x:c r="E77"/>
      <x:c r="F77"/>
      <x:c r="G77"/>
      <x:c r="H77" s="4"/>
      <x:c r="I77" s="4"/>
      <x:c r="J77" s="4"/>
      <x:c r="K77" s="4"/>
      <x:c r="L77" s="4"/>
      <x:c r="M77" s="4"/>
    </x:row>
    <x:row r="78">
      <x:c r="A78" s="79"/>
      <x:c r="C78"/>
      <x:c r="D78"/>
      <x:c r="E78"/>
      <x:c r="F78"/>
      <x:c r="G78"/>
      <x:c r="H78" s="4"/>
      <x:c r="I78" s="4"/>
      <x:c r="J78" s="4"/>
      <x:c r="K78" s="4"/>
      <x:c r="L78" s="4"/>
      <x:c r="M78" s="4"/>
    </x:row>
    <x:row r="79">
      <x:c r="A79" s="79"/>
      <x:c r="C79"/>
      <x:c r="D79"/>
      <x:c r="E79"/>
      <x:c r="F79"/>
      <x:c r="G79"/>
      <x:c r="H79" s="4"/>
      <x:c r="I79" s="4"/>
      <x:c r="J79" s="4"/>
      <x:c r="K79" s="4"/>
      <x:c r="L79" s="4"/>
      <x:c r="M79" s="4"/>
    </x:row>
    <x:row r="80">
      <x:c r="A80" s="79"/>
      <x:c r="C80"/>
      <x:c r="D80"/>
      <x:c r="E80"/>
      <x:c r="F80"/>
      <x:c r="G80"/>
      <x:c r="H80" s="4"/>
      <x:c r="I80" s="4"/>
      <x:c r="J80" s="4"/>
      <x:c r="K80" s="4"/>
      <x:c r="L80" s="4"/>
      <x:c r="M80" s="4"/>
    </x:row>
    <x:row r="81">
      <x:c r="A81" s="79"/>
      <x:c r="C81"/>
      <x:c r="D81"/>
      <x:c r="E81"/>
      <x:c r="F81"/>
      <x:c r="G81"/>
      <x:c r="H81" s="4"/>
      <x:c r="I81" s="4"/>
      <x:c r="J81" s="4"/>
      <x:c r="K81" s="4"/>
      <x:c r="L81" s="4"/>
      <x:c r="M81" s="4"/>
    </x:row>
    <x:row r="82">
      <x:c r="A82" s="79"/>
      <x:c r="C82"/>
      <x:c r="D82"/>
      <x:c r="E82"/>
      <x:c r="F82"/>
      <x:c r="G82"/>
      <x:c r="H82" s="4"/>
      <x:c r="I82" s="4"/>
      <x:c r="J82" s="4"/>
      <x:c r="K82" s="4"/>
      <x:c r="L82" s="4"/>
      <x:c r="M82" s="4"/>
    </x:row>
    <x:row r="83">
      <x:c r="A83" s="79"/>
      <x:c r="C83"/>
      <x:c r="D83"/>
      <x:c r="E83"/>
      <x:c r="F83"/>
      <x:c r="G83"/>
      <x:c r="H83" s="4"/>
      <x:c r="I83" s="4"/>
      <x:c r="J83" s="4"/>
      <x:c r="K83" s="4"/>
      <x:c r="L83" s="4"/>
      <x:c r="M83" s="4"/>
    </x:row>
    <x:row r="84">
      <x:c r="A84" s="79"/>
      <x:c r="C84"/>
      <x:c r="D84"/>
      <x:c r="E84"/>
      <x:c r="F84"/>
      <x:c r="G84"/>
      <x:c r="H84" s="4"/>
      <x:c r="I84" s="4"/>
      <x:c r="J84" s="4"/>
      <x:c r="K84" s="4"/>
      <x:c r="L84" s="4"/>
      <x:c r="M84" s="4"/>
    </x:row>
    <x:row r="85">
      <x:c r="A85" s="79"/>
      <x:c r="C85"/>
      <x:c r="D85"/>
      <x:c r="E85"/>
      <x:c r="F85"/>
      <x:c r="G85"/>
      <x:c r="H85" s="4"/>
      <x:c r="I85" s="4"/>
      <x:c r="J85" s="4"/>
      <x:c r="K85" s="4"/>
      <x:c r="L85" s="4"/>
      <x:c r="M85" s="4"/>
    </x:row>
    <x:row r="86">
      <x:c r="A86" s="79"/>
      <x:c r="C86"/>
      <x:c r="D86"/>
      <x:c r="E86"/>
      <x:c r="F86"/>
      <x:c r="G86"/>
      <x:c r="H86" s="4"/>
      <x:c r="I86" s="4"/>
      <x:c r="J86" s="4"/>
      <x:c r="K86" s="4"/>
      <x:c r="L86" s="4"/>
      <x:c r="M86" s="4"/>
    </x:row>
    <x:row r="87">
      <x:c r="A87" s="79"/>
      <x:c r="C87"/>
      <x:c r="D87"/>
      <x:c r="E87"/>
      <x:c r="F87"/>
      <x:c r="G87"/>
      <x:c r="H87" s="4"/>
      <x:c r="I87" s="4"/>
      <x:c r="J87" s="4"/>
      <x:c r="K87" s="4"/>
      <x:c r="L87" s="4"/>
      <x:c r="M87" s="4"/>
    </x:row>
    <x:row r="88">
      <x:c r="A88" s="79"/>
      <x:c r="C88"/>
      <x:c r="D88"/>
      <x:c r="E88"/>
      <x:c r="F88"/>
      <x:c r="G88"/>
      <x:c r="H88" s="4"/>
      <x:c r="I88" s="4"/>
      <x:c r="J88" s="4"/>
      <x:c r="K88" s="4"/>
      <x:c r="L88" s="4"/>
      <x:c r="M88" s="4"/>
    </x:row>
    <x:row r="89">
      <x:c r="A89" s="79"/>
      <x:c r="C89"/>
      <x:c r="D89"/>
      <x:c r="E89"/>
      <x:c r="F89"/>
      <x:c r="G89"/>
      <x:c r="H89" s="4"/>
      <x:c r="I89" s="4"/>
      <x:c r="J89" s="4"/>
      <x:c r="K89" s="4"/>
      <x:c r="L89" s="4"/>
      <x:c r="M89" s="4"/>
    </x:row>
    <x:row r="90">
      <x:c r="A90" s="79"/>
      <x:c r="C90"/>
      <x:c r="D90"/>
      <x:c r="E90"/>
      <x:c r="F90"/>
      <x:c r="G90"/>
      <x:c r="H90" s="4"/>
      <x:c r="I90" s="4"/>
      <x:c r="J90" s="4"/>
      <x:c r="K90" s="4"/>
      <x:c r="L90" s="4"/>
      <x:c r="M90" s="4"/>
    </x:row>
    <x:row r="91">
      <x:c r="A91" s="79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>
      <x:c r="A92" s="79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>
      <x:c r="A93" s="79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79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>
      <x:c r="A95" s="79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>
      <x:c r="A96" s="79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79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79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79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79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0" hidden="0" customWidth="1"/>
    <x:col min="4" max="4" width="15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GXO historical financials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Reported results and selected normalization items | USD in millions except per-share data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182" t="str">
        <x:v>Income statement</x:v>
      </x:c>
      <x:c r="D6" s="183"/>
      <x:c r="E6" s="183"/>
      <x:c r="F6" s="183"/>
      <x:c r="G6" s="184"/>
      <x:c r="H6" s="4"/>
      <x:c r="I6" s="4"/>
      <x:c r="J6" s="4"/>
      <x:c r="K6" s="4"/>
      <x:c r="L6" s="4"/>
      <x:c r="M6" s="4"/>
    </x:row>
    <x:row r="7">
      <x:c r="A7" s="79"/>
      <x:c r="C7"/>
      <x:c r="D7"/>
      <x:c r="E7"/>
      <x:c r="F7"/>
      <x:c r="G7"/>
      <x:c r="H7" s="4"/>
      <x:c r="I7" s="4"/>
      <x:c r="J7" s="4"/>
      <x:c r="K7" s="4"/>
      <x:c r="L7" s="4"/>
      <x:c r="M7" s="4"/>
    </x:row>
    <x:row r="8">
      <x:c r="A8" s="79"/>
      <x:c r="C8" s="187" t="str">
        <x:v>Metric</x:v>
      </x:c>
      <x:c r="D8" s="187" t="str">
        <x:v>FY:23A</x:v>
      </x:c>
      <x:c r="E8" s="187" t="str">
        <x:v>FY:24A</x:v>
      </x:c>
      <x:c r="F8" s="187" t="str">
        <x:v>FY:25A</x:v>
      </x:c>
      <x:c r="G8" s="187" t="str">
        <x:v>Source ID</x:v>
      </x:c>
      <x:c r="H8" s="4"/>
      <x:c r="I8" s="4"/>
      <x:c r="J8" s="4"/>
      <x:c r="K8" s="4"/>
      <x:c r="L8" s="4"/>
      <x:c r="M8" s="4"/>
    </x:row>
    <x:row r="9">
      <x:c r="A9" s="79"/>
      <x:c r="C9" t="str">
        <x:v>Revenue</x:v>
      </x:c>
      <x:c r="D9" s="208" t="n">
        <x:v>9778</x:v>
      </x:c>
      <x:c r="E9" s="209" t="n">
        <x:v>11709</x:v>
      </x:c>
      <x:c r="F9" s="210" t="n">
        <x:v>13178</x:v>
      </x:c>
      <x:c r="G9" t="str">
        <x:v>S01</x:v>
      </x:c>
      <x:c r="H9" s="4"/>
      <x:c r="I9" s="4"/>
      <x:c r="J9" s="4"/>
      <x:c r="K9" s="4"/>
      <x:c r="L9" s="4"/>
      <x:c r="M9" s="4"/>
    </x:row>
    <x:row r="10">
      <x:c r="A10" s="79"/>
      <x:c r="C10" t="str">
        <x:v>Direct operating expense</x:v>
      </x:c>
      <x:c r="D10" s="217" t="n">
        <x:v>-8035</x:v>
      </x:c>
      <x:c r="E10" s="218" t="n">
        <x:v>-9853</x:v>
      </x:c>
      <x:c r="F10" s="219" t="n">
        <x:v>-11190</x:v>
      </x:c>
      <x:c r="G10" t="str">
        <x:v>S01</x:v>
      </x:c>
      <x:c r="H10" s="4"/>
      <x:c r="I10" s="4"/>
      <x:c r="J10" s="4"/>
      <x:c r="K10" s="4"/>
      <x:c r="L10" s="4"/>
      <x:c r="M10" s="4"/>
    </x:row>
    <x:row r="11">
      <x:c r="A11" s="79"/>
      <x:c r="C11" t="str">
        <x:v>Selling, general and administrative expense</x:v>
      </x:c>
      <x:c r="D11" s="217" t="n">
        <x:v>-998</x:v>
      </x:c>
      <x:c r="E11" s="218" t="n">
        <x:v>-1061</x:v>
      </x:c>
      <x:c r="F11" s="219" t="n">
        <x:v>-1106</x:v>
      </x:c>
      <x:c r="G11" t="str">
        <x:v>S01</x:v>
      </x:c>
      <x:c r="H11" s="4"/>
      <x:c r="I11" s="4"/>
      <x:c r="J11" s="4"/>
      <x:c r="K11" s="4"/>
      <x:c r="L11" s="4"/>
      <x:c r="M11" s="4"/>
    </x:row>
    <x:row r="12">
      <x:c r="A12" s="79"/>
      <x:c r="C12" t="str">
        <x:v>Depreciation and amortisation</x:v>
      </x:c>
      <x:c r="D12" s="217" t="n">
        <x:v>-361</x:v>
      </x:c>
      <x:c r="E12" s="218" t="n">
        <x:v>-415</x:v>
      </x:c>
      <x:c r="F12" s="219" t="n">
        <x:v>-457</x:v>
      </x:c>
      <x:c r="G12" t="str">
        <x:v>S01</x:v>
      </x:c>
      <x:c r="H12" s="4"/>
      <x:c r="I12" s="4"/>
      <x:c r="J12" s="4"/>
      <x:c r="K12" s="4"/>
      <x:c r="L12" s="4"/>
      <x:c r="M12" s="4"/>
    </x:row>
    <x:row r="13">
      <x:c r="A13" s="79"/>
      <x:c r="C13" t="str">
        <x:v>Transaction and integration costs</x:v>
      </x:c>
      <x:c r="D13" s="217" t="n">
        <x:v>-34</x:v>
      </x:c>
      <x:c r="E13" s="218" t="n">
        <x:v>-76</x:v>
      </x:c>
      <x:c r="F13" s="219" t="n">
        <x:v>-54</x:v>
      </x:c>
      <x:c r="G13" t="str">
        <x:v>S01</x:v>
      </x:c>
      <x:c r="H13" s="4"/>
      <x:c r="I13" s="4"/>
      <x:c r="J13" s="4"/>
      <x:c r="K13" s="4"/>
      <x:c r="L13" s="4"/>
      <x:c r="M13" s="4"/>
    </x:row>
    <x:row r="14">
      <x:c r="A14" s="79"/>
      <x:c r="C14" t="str">
        <x:v>Restructuring costs and other</x:v>
      </x:c>
      <x:c r="D14" s="217" t="n">
        <x:v>-25</x:v>
      </x:c>
      <x:c r="E14" s="218" t="n">
        <x:v>-25</x:v>
      </x:c>
      <x:c r="F14" s="219" t="n">
        <x:v>-27</x:v>
      </x:c>
      <x:c r="G14" t="str">
        <x:v>S01</x:v>
      </x:c>
      <x:c r="H14" s="4"/>
      <x:c r="I14" s="4"/>
      <x:c r="J14" s="4"/>
      <x:c r="K14" s="4"/>
      <x:c r="L14" s="4"/>
      <x:c r="M14" s="4"/>
    </x:row>
    <x:row r="15">
      <x:c r="A15" s="79"/>
      <x:c r="C15" t="str">
        <x:v>Regulatory matter and litigation expense</x:v>
      </x:c>
      <x:c r="D15" s="217" t="n">
        <x:v>0</x:v>
      </x:c>
      <x:c r="E15" s="218" t="n">
        <x:v>-59</x:v>
      </x:c>
      <x:c r="F15" s="219" t="n">
        <x:v>-65</x:v>
      </x:c>
      <x:c r="G15" t="str">
        <x:v>S01</x:v>
      </x:c>
      <x:c r="H15" s="4"/>
      <x:c r="I15" s="4"/>
      <x:c r="J15" s="4"/>
      <x:c r="K15" s="4"/>
      <x:c r="L15" s="4"/>
      <x:c r="M15" s="4"/>
    </x:row>
    <x:row r="16">
      <x:c r="A16" s="79"/>
      <x:c r="C16" t="str">
        <x:v>Net loss on divestiture</x:v>
      </x:c>
      <x:c r="D16" s="211" t="n">
        <x:v>-7</x:v>
      </x:c>
      <x:c r="E16" s="212" t="n">
        <x:v>-2</x:v>
      </x:c>
      <x:c r="F16" s="213" t="n">
        <x:v>-34</x:v>
      </x:c>
      <x:c r="G16" t="str">
        <x:v>S01</x:v>
      </x:c>
      <x:c r="H16" s="4"/>
      <x:c r="I16" s="4"/>
      <x:c r="J16" s="4"/>
      <x:c r="K16" s="4"/>
      <x:c r="L16" s="4"/>
      <x:c r="M16" s="4"/>
    </x:row>
    <x:row r="17">
      <x:c r="A17" s="79"/>
      <x:c r="C17" s="104" t="str">
        <x:v>Operating income / EBIT</x:v>
      </x:c>
      <x:c r="D17" s="117" t="n">
        <x:f>SUM(D9:D16)</x:f>
        <x:v>318</x:v>
      </x:c>
      <x:c r="E17" s="117" t="n">
        <x:f>SUM(E9:E16)</x:f>
        <x:v>218</x:v>
      </x:c>
      <x:c r="F17" s="117" t="n">
        <x:f>SUM(F9:F16)</x:f>
        <x:v>245</x:v>
      </x:c>
      <x:c r="G17" t="str">
        <x:v>Calculated</x:v>
      </x:c>
      <x:c r="H17" s="4"/>
      <x:c r="I17" s="4"/>
      <x:c r="J17" s="4"/>
      <x:c r="K17" s="4"/>
      <x:c r="L17" s="4"/>
      <x:c r="M17" s="4"/>
    </x:row>
    <x:row r="18">
      <x:c r="A18" s="79"/>
      <x:c r="C18" s="104" t="str">
        <x:v>Reported EBITDA</x:v>
      </x:c>
      <x:c r="D18" s="117" t="n">
        <x:f>D17-D12</x:f>
        <x:v>679</x:v>
      </x:c>
      <x:c r="E18" s="117" t="n">
        <x:f>E17-E12</x:f>
        <x:v>633</x:v>
      </x:c>
      <x:c r="F18" s="117" t="n">
        <x:f>F17-F12</x:f>
        <x:v>702</x:v>
      </x:c>
      <x:c r="G18" t="str">
        <x:v>Calculated</x:v>
      </x:c>
      <x:c r="H18" s="4"/>
      <x:c r="I18" s="4"/>
      <x:c r="J18" s="4"/>
      <x:c r="K18" s="4"/>
      <x:c r="L18" s="4"/>
      <x:c r="M18" s="4"/>
    </x:row>
    <x:row r="19">
      <x:c r="A19" s="79"/>
      <x:c r="C19" t="str">
        <x:v>Other income / (expense), net</x:v>
      </x:c>
      <x:c r="D19" s="208" t="n">
        <x:v>1</x:v>
      </x:c>
      <x:c r="E19" s="209" t="n">
        <x:v>31</x:v>
      </x:c>
      <x:c r="F19" s="210" t="n">
        <x:v>-8</x:v>
      </x:c>
      <x:c r="G19" t="str">
        <x:v>S01</x:v>
      </x:c>
      <x:c r="H19" s="4"/>
      <x:c r="I19" s="4"/>
      <x:c r="J19" s="4"/>
      <x:c r="K19" s="4"/>
      <x:c r="L19" s="4"/>
      <x:c r="M19" s="4"/>
    </x:row>
    <x:row r="20">
      <x:c r="A20" s="79"/>
      <x:c r="C20" t="str">
        <x:v>Interest expense, net</x:v>
      </x:c>
      <x:c r="D20" s="217" t="n">
        <x:v>-53</x:v>
      </x:c>
      <x:c r="E20" s="218" t="n">
        <x:v>-103</x:v>
      </x:c>
      <x:c r="F20" s="219" t="n">
        <x:v>-133</x:v>
      </x:c>
      <x:c r="G20" t="str">
        <x:v>S01</x:v>
      </x:c>
      <x:c r="H20" s="4"/>
      <x:c r="I20" s="4"/>
      <x:c r="J20" s="4"/>
      <x:c r="K20" s="4"/>
      <x:c r="L20" s="4"/>
      <x:c r="M20" s="4"/>
    </x:row>
    <x:row r="21">
      <x:c r="A21" s="79"/>
      <x:c r="C21" t="str">
        <x:v>Income before income taxes</x:v>
      </x:c>
      <x:c r="D21" s="217" t="n">
        <x:v>266</x:v>
      </x:c>
      <x:c r="E21" s="218" t="n">
        <x:v>146</x:v>
      </x:c>
      <x:c r="F21" s="219" t="n">
        <x:v>104</x:v>
      </x:c>
      <x:c r="G21" t="str">
        <x:v>S01</x:v>
      </x:c>
      <x:c r="H21" s="4"/>
      <x:c r="I21" s="4"/>
      <x:c r="J21" s="4"/>
      <x:c r="K21" s="4"/>
      <x:c r="L21" s="4"/>
      <x:c r="M21" s="4"/>
    </x:row>
    <x:row r="22">
      <x:c r="A22" s="79"/>
      <x:c r="C22" t="str">
        <x:v>Income tax expense</x:v>
      </x:c>
      <x:c r="D22" s="217" t="n">
        <x:v>-33</x:v>
      </x:c>
      <x:c r="E22" s="218" t="n">
        <x:v>-8</x:v>
      </x:c>
      <x:c r="F22" s="219" t="n">
        <x:v>-68</x:v>
      </x:c>
      <x:c r="G22" t="str">
        <x:v>S01</x:v>
      </x:c>
      <x:c r="H22" s="4"/>
      <x:c r="I22" s="4"/>
      <x:c r="J22" s="4"/>
      <x:c r="K22" s="4"/>
      <x:c r="L22" s="4"/>
      <x:c r="M22" s="4"/>
    </x:row>
    <x:row r="23">
      <x:c r="A23" s="79"/>
      <x:c r="C23" t="str">
        <x:v>Net income attributable to GXO</x:v>
      </x:c>
      <x:c r="D23" s="217" t="n">
        <x:v>229</x:v>
      </x:c>
      <x:c r="E23" s="218" t="n">
        <x:v>134</x:v>
      </x:c>
      <x:c r="F23" s="219" t="n">
        <x:v>32</x:v>
      </x:c>
      <x:c r="G23" t="str">
        <x:v>S01</x:v>
      </x:c>
      <x:c r="H23" s="4"/>
      <x:c r="I23" s="4"/>
      <x:c r="J23" s="4"/>
      <x:c r="K23" s="4"/>
      <x:c r="L23" s="4"/>
      <x:c r="M23" s="4"/>
    </x:row>
    <x:row r="24">
      <x:c r="A24" s="79"/>
      <x:c r="C24" t="str">
        <x:v>Diluted shares</x:v>
      </x:c>
      <x:c r="D24" s="217" t="n">
        <x:v>119.49</x:v>
      </x:c>
      <x:c r="E24" s="218" t="n">
        <x:v>119.798</x:v>
      </x:c>
      <x:c r="F24" s="219" t="n">
        <x:v>116.303</x:v>
      </x:c>
      <x:c r="G24" t="str">
        <x:v>S01</x:v>
      </x:c>
      <x:c r="H24" s="4"/>
      <x:c r="I24" s="4"/>
      <x:c r="J24" s="4"/>
      <x:c r="K24" s="4"/>
      <x:c r="L24" s="4"/>
      <x:c r="M24" s="4"/>
    </x:row>
    <x:row r="25">
      <x:c r="A25" s="79"/>
      <x:c r="C25" t="str">
        <x:v>Diluted EPS</x:v>
      </x:c>
      <x:c r="D25" s="223" t="n">
        <x:v>1.92</x:v>
      </x:c>
      <x:c r="E25" s="224" t="n">
        <x:v>1.12</x:v>
      </x:c>
      <x:c r="F25" s="225" t="n">
        <x:v>0.28</x:v>
      </x:c>
      <x:c r="G25" t="str">
        <x:v>S01</x:v>
      </x:c>
      <x:c r="H25" s="4"/>
      <x:c r="I25" s="4"/>
      <x:c r="J25" s="4"/>
      <x:c r="K25" s="4"/>
      <x:c r="L25" s="4"/>
      <x:c r="M25" s="4"/>
    </x:row>
    <x:row r="26">
      <x:c r="A26" s="79"/>
      <x:c r="C26"/>
      <x:c r="D26"/>
      <x:c r="E26"/>
      <x:c r="F26"/>
      <x:c r="G26"/>
      <x:c r="H26" s="4"/>
      <x:c r="I26" s="4"/>
      <x:c r="J26" s="4"/>
      <x:c r="K26" s="4"/>
      <x:c r="L26" s="4"/>
      <x:c r="M26" s="4"/>
    </x:row>
    <x:row r="27">
      <x:c r="A27" s="79"/>
      <x:c r="C27"/>
      <x:c r="D27"/>
      <x:c r="E27"/>
      <x:c r="F27"/>
      <x:c r="G27"/>
      <x:c r="H27" s="4"/>
      <x:c r="I27" s="4"/>
      <x:c r="J27" s="4"/>
      <x:c r="K27" s="4"/>
      <x:c r="L27" s="4"/>
      <x:c r="M27" s="4"/>
    </x:row>
    <x:row r="28">
      <x:c r="A28" s="79"/>
      <x:c r="C28" s="182" t="str">
        <x:v>Selected balance sheet</x:v>
      </x:c>
      <x:c r="D28" s="183"/>
      <x:c r="E28" s="183"/>
      <x:c r="F28" s="183"/>
      <x:c r="G28" s="184"/>
      <x:c r="H28" s="4"/>
      <x:c r="I28" s="4"/>
      <x:c r="J28" s="4"/>
      <x:c r="K28" s="4"/>
      <x:c r="L28" s="4"/>
      <x:c r="M28" s="4"/>
    </x:row>
    <x:row r="29">
      <x:c r="A29" s="79"/>
      <x:c r="C29"/>
      <x:c r="D29"/>
      <x:c r="E29"/>
      <x:c r="F29"/>
      <x:c r="G29"/>
      <x:c r="H29" s="4"/>
      <x:c r="I29" s="4"/>
      <x:c r="J29" s="4"/>
      <x:c r="K29" s="4"/>
      <x:c r="L29" s="4"/>
      <x:c r="M29" s="4"/>
    </x:row>
    <x:row r="30">
      <x:c r="A30" s="79"/>
      <x:c r="C30" s="187" t="str">
        <x:v>Metric</x:v>
      </x:c>
      <x:c r="D30" s="187" t="str">
        <x:v>FY:23A</x:v>
      </x:c>
      <x:c r="E30" s="187" t="str">
        <x:v>FY:24A</x:v>
      </x:c>
      <x:c r="F30" s="187" t="str">
        <x:v>FY:25A</x:v>
      </x:c>
      <x:c r="G30" s="187" t="str">
        <x:v>Source ID</x:v>
      </x:c>
      <x:c r="H30" s="4"/>
      <x:c r="I30" s="4"/>
      <x:c r="J30" s="4"/>
      <x:c r="K30" s="4"/>
      <x:c r="L30" s="4"/>
      <x:c r="M30" s="4"/>
    </x:row>
    <x:row r="31">
      <x:c r="A31" s="79"/>
      <x:c r="C31" t="str">
        <x:v>Cash and cash equivalents</x:v>
      </x:c>
      <x:c r="D31" s="208" t="n">
        <x:v>468</x:v>
      </x:c>
      <x:c r="E31" s="209" t="n">
        <x:v>413</x:v>
      </x:c>
      <x:c r="F31" s="210" t="n">
        <x:v>854</x:v>
      </x:c>
      <x:c r="G31" t="str">
        <x:v>S01 / S07</x:v>
      </x:c>
      <x:c r="H31" s="4"/>
      <x:c r="I31" s="4"/>
      <x:c r="J31" s="4"/>
      <x:c r="K31" s="4"/>
      <x:c r="L31" s="4"/>
      <x:c r="M31" s="4"/>
    </x:row>
    <x:row r="32">
      <x:c r="A32" s="79"/>
      <x:c r="C32" t="str">
        <x:v>Accounts receivable</x:v>
      </x:c>
      <x:c r="D32" s="217" t="n">
        <x:v>1753</x:v>
      </x:c>
      <x:c r="E32" s="218" t="n">
        <x:v>1799</x:v>
      </x:c>
      <x:c r="F32" s="219" t="n">
        <x:v>2028</x:v>
      </x:c>
      <x:c r="G32" t="str">
        <x:v>S01 / S07</x:v>
      </x:c>
      <x:c r="H32" s="4"/>
      <x:c r="I32" s="4"/>
      <x:c r="J32" s="4"/>
      <x:c r="K32" s="4"/>
      <x:c r="L32" s="4"/>
      <x:c r="M32" s="4"/>
    </x:row>
    <x:row r="33">
      <x:c r="A33" s="79"/>
      <x:c r="C33" t="str">
        <x:v>Total current assets</x:v>
      </x:c>
      <x:c r="D33" s="217" t="n">
        <x:v>2568</x:v>
      </x:c>
      <x:c r="E33" s="218" t="n">
        <x:v>2641</x:v>
      </x:c>
      <x:c r="F33" s="219" t="n">
        <x:v>3288</x:v>
      </x:c>
      <x:c r="G33" t="str">
        <x:v>S01 / S07</x:v>
      </x:c>
      <x:c r="H33" s="4"/>
      <x:c r="I33" s="4"/>
      <x:c r="J33" s="4"/>
      <x:c r="K33" s="4"/>
      <x:c r="L33" s="4"/>
      <x:c r="M33" s="4"/>
    </x:row>
    <x:row r="34">
      <x:c r="A34" s="79"/>
      <x:c r="C34" t="str">
        <x:v>Property and equipment, net</x:v>
      </x:c>
      <x:c r="D34" s="217" t="n">
        <x:v>953</x:v>
      </x:c>
      <x:c r="E34" s="218" t="n">
        <x:v>1160</x:v>
      </x:c>
      <x:c r="F34" s="219" t="n">
        <x:v>1151</x:v>
      </x:c>
      <x:c r="G34" t="str">
        <x:v>S01 / S07</x:v>
      </x:c>
      <x:c r="H34" s="4"/>
      <x:c r="I34" s="4"/>
      <x:c r="J34" s="4"/>
      <x:c r="K34" s="4"/>
      <x:c r="L34" s="4"/>
      <x:c r="M34" s="4"/>
    </x:row>
    <x:row r="35">
      <x:c r="A35" s="79"/>
      <x:c r="C35" t="str">
        <x:v>Total assets</x:v>
      </x:c>
      <x:c r="D35" s="217" t="n">
        <x:v>9507</x:v>
      </x:c>
      <x:c r="E35" s="218" t="n">
        <x:v>11266</x:v>
      </x:c>
      <x:c r="F35" s="219" t="n">
        <x:v>12262</x:v>
      </x:c>
      <x:c r="G35" t="str">
        <x:v>S01 / S07</x:v>
      </x:c>
      <x:c r="H35" s="4"/>
      <x:c r="I35" s="4"/>
      <x:c r="J35" s="4"/>
      <x:c r="K35" s="4"/>
      <x:c r="L35" s="4"/>
      <x:c r="M35" s="4"/>
    </x:row>
    <x:row r="36">
      <x:c r="A36" s="79"/>
      <x:c r="C36" t="str">
        <x:v>Accounts payable</x:v>
      </x:c>
      <x:c r="D36" s="217" t="n">
        <x:v>709</x:v>
      </x:c>
      <x:c r="E36" s="218" t="n">
        <x:v>776</x:v>
      </x:c>
      <x:c r="F36" s="219" t="n">
        <x:v>758</x:v>
      </x:c>
      <x:c r="G36" t="str">
        <x:v>S01 / S07</x:v>
      </x:c>
      <x:c r="H36" s="4"/>
      <x:c r="I36" s="4"/>
      <x:c r="J36" s="4"/>
      <x:c r="K36" s="4"/>
      <x:c r="L36" s="4"/>
      <x:c r="M36" s="4"/>
    </x:row>
    <x:row r="37">
      <x:c r="A37" s="79"/>
      <x:c r="C37" t="str">
        <x:v>Total current liabilities</x:v>
      </x:c>
      <x:c r="D37" s="217" t="n">
        <x:v>2626</x:v>
      </x:c>
      <x:c r="E37" s="218" t="n">
        <x:v>3189</x:v>
      </x:c>
      <x:c r="F37" s="219" t="n">
        <x:v>3875</x:v>
      </x:c>
      <x:c r="G37" t="str">
        <x:v>S01 / S07</x:v>
      </x:c>
      <x:c r="H37" s="4"/>
      <x:c r="I37" s="4"/>
      <x:c r="J37" s="4"/>
      <x:c r="K37" s="4"/>
      <x:c r="L37" s="4"/>
      <x:c r="M37" s="4"/>
    </x:row>
    <x:row r="38">
      <x:c r="A38" s="79"/>
      <x:c r="C38" t="str">
        <x:v>Current debt</x:v>
      </x:c>
      <x:c r="D38" s="217" t="n">
        <x:v>27</x:v>
      </x:c>
      <x:c r="E38" s="218" t="n">
        <x:v>110</x:v>
      </x:c>
      <x:c r="F38" s="219" t="n">
        <x:v>446</x:v>
      </x:c>
      <x:c r="G38" t="str">
        <x:v>S01 / S07</x:v>
      </x:c>
      <x:c r="H38" s="4"/>
      <x:c r="I38" s="4"/>
      <x:c r="J38" s="4"/>
      <x:c r="K38" s="4"/>
      <x:c r="L38" s="4"/>
      <x:c r="M38" s="4"/>
    </x:row>
    <x:row r="39">
      <x:c r="A39" s="79"/>
      <x:c r="C39" t="str">
        <x:v>Long-term debt</x:v>
      </x:c>
      <x:c r="D39" s="211" t="n">
        <x:v>1620</x:v>
      </x:c>
      <x:c r="E39" s="212" t="n">
        <x:v>2521</x:v>
      </x:c>
      <x:c r="F39" s="213" t="n">
        <x:v>2619</x:v>
      </x:c>
      <x:c r="G39" t="str">
        <x:v>S01 / S07</x:v>
      </x:c>
      <x:c r="H39" s="4"/>
      <x:c r="I39" s="4"/>
      <x:c r="J39" s="4"/>
      <x:c r="K39" s="4"/>
      <x:c r="L39" s="4"/>
      <x:c r="M39" s="4"/>
    </x:row>
    <x:row r="40">
      <x:c r="A40" s="79"/>
      <x:c r="C40" s="104" t="str">
        <x:v>Total debt</x:v>
      </x:c>
      <x:c r="D40" s="117" t="n">
        <x:f>SUM(D38:D39)</x:f>
        <x:v>1647</x:v>
      </x:c>
      <x:c r="E40" s="117" t="n">
        <x:f>SUM(E38:E39)</x:f>
        <x:v>2631</x:v>
      </x:c>
      <x:c r="F40" s="117" t="n">
        <x:f>SUM(F38:F39)</x:f>
        <x:v>3065</x:v>
      </x:c>
      <x:c r="G40" t="str">
        <x:v>Calculated</x:v>
      </x:c>
      <x:c r="H40" s="4"/>
      <x:c r="I40" s="4"/>
      <x:c r="J40" s="4"/>
      <x:c r="K40" s="4"/>
      <x:c r="L40" s="4"/>
      <x:c r="M40" s="4"/>
    </x:row>
    <x:row r="41">
      <x:c r="A41" s="79"/>
      <x:c r="C41" t="str">
        <x:v>Total equity</x:v>
      </x:c>
      <x:c r="D41" s="214" t="n">
        <x:v>2946</x:v>
      </x:c>
      <x:c r="E41" s="215" t="n">
        <x:v>3035</x:v>
      </x:c>
      <x:c r="F41" s="216" t="n">
        <x:v>3015</x:v>
      </x:c>
      <x:c r="G41" t="str">
        <x:v>S01 / S07</x:v>
      </x:c>
      <x:c r="H41" s="4"/>
      <x:c r="I41" s="4"/>
      <x:c r="J41" s="4"/>
      <x:c r="K41" s="4"/>
      <x:c r="L41" s="4"/>
      <x:c r="M41" s="4"/>
    </x:row>
    <x:row r="42">
      <x:c r="A42" s="79"/>
      <x:c r="C42"/>
      <x:c r="D42"/>
      <x:c r="E42"/>
      <x:c r="F42"/>
      <x:c r="G42"/>
      <x:c r="H42" s="4"/>
      <x:c r="I42" s="4"/>
      <x:c r="J42" s="4"/>
      <x:c r="K42" s="4"/>
      <x:c r="L42" s="4"/>
      <x:c r="M42" s="4"/>
    </x:row>
    <x:row r="43">
      <x:c r="A43" s="79"/>
      <x:c r="C43"/>
      <x:c r="D43"/>
      <x:c r="E43"/>
      <x:c r="F43"/>
      <x:c r="G43"/>
      <x:c r="H43" s="4"/>
      <x:c r="I43" s="4"/>
      <x:c r="J43" s="4"/>
      <x:c r="K43" s="4"/>
      <x:c r="L43" s="4"/>
      <x:c r="M43" s="4"/>
    </x:row>
    <x:row r="44">
      <x:c r="A44" s="79"/>
      <x:c r="C44" s="182" t="str">
        <x:v>Cash flow</x:v>
      </x:c>
      <x:c r="D44" s="183"/>
      <x:c r="E44" s="183"/>
      <x:c r="F44" s="183"/>
      <x:c r="G44" s="184"/>
      <x:c r="H44" s="4"/>
      <x:c r="I44" s="4"/>
      <x:c r="J44" s="4"/>
      <x:c r="K44" s="4"/>
      <x:c r="L44" s="4"/>
      <x:c r="M44" s="4"/>
    </x:row>
    <x:row r="45">
      <x:c r="A45" s="79"/>
      <x:c r="C45"/>
      <x:c r="D45"/>
      <x:c r="E45"/>
      <x:c r="F45"/>
      <x:c r="G45"/>
      <x:c r="H45" s="4"/>
      <x:c r="I45" s="4"/>
      <x:c r="J45" s="4"/>
      <x:c r="K45" s="4"/>
      <x:c r="L45" s="4"/>
      <x:c r="M45" s="4"/>
    </x:row>
    <x:row r="46">
      <x:c r="A46" s="79"/>
      <x:c r="C46" s="187" t="str">
        <x:v>Metric</x:v>
      </x:c>
      <x:c r="D46" s="187" t="str">
        <x:v>FY:23A</x:v>
      </x:c>
      <x:c r="E46" s="187" t="str">
        <x:v>FY:24A</x:v>
      </x:c>
      <x:c r="F46" s="187" t="str">
        <x:v>FY:25A</x:v>
      </x:c>
      <x:c r="G46" s="187" t="str">
        <x:v>Source ID</x:v>
      </x:c>
      <x:c r="H46" s="4"/>
      <x:c r="I46" s="4"/>
      <x:c r="J46" s="4"/>
      <x:c r="K46" s="4"/>
      <x:c r="L46" s="4"/>
      <x:c r="M46" s="4"/>
    </x:row>
    <x:row r="47">
      <x:c r="A47" s="79"/>
      <x:c r="C47" t="str">
        <x:v>Net cash provided by operating activities</x:v>
      </x:c>
      <x:c r="D47" s="208" t="n">
        <x:v>558</x:v>
      </x:c>
      <x:c r="E47" s="209" t="n">
        <x:v>549</x:v>
      </x:c>
      <x:c r="F47" s="210" t="n">
        <x:v>434</x:v>
      </x:c>
      <x:c r="G47" t="str">
        <x:v>S01</x:v>
      </x:c>
      <x:c r="H47" s="4"/>
      <x:c r="I47" s="4"/>
      <x:c r="J47" s="4"/>
      <x:c r="K47" s="4"/>
      <x:c r="L47" s="4"/>
      <x:c r="M47" s="4"/>
    </x:row>
    <x:row r="48">
      <x:c r="A48" s="79"/>
      <x:c r="C48" t="str">
        <x:v>Capital expenditures</x:v>
      </x:c>
      <x:c r="D48" s="211" t="n">
        <x:v>-274</x:v>
      </x:c>
      <x:c r="E48" s="212" t="n">
        <x:v>-359</x:v>
      </x:c>
      <x:c r="F48" s="213" t="n">
        <x:v>-324</x:v>
      </x:c>
      <x:c r="G48" t="str">
        <x:v>S01</x:v>
      </x:c>
      <x:c r="H48" s="4"/>
      <x:c r="I48" s="4"/>
      <x:c r="J48" s="4"/>
      <x:c r="K48" s="4"/>
      <x:c r="L48" s="4"/>
      <x:c r="M48" s="4"/>
    </x:row>
    <x:row r="49">
      <x:c r="A49" s="79"/>
      <x:c r="C49" s="104" t="str">
        <x:v>Free cash flow before acquisitions</x:v>
      </x:c>
      <x:c r="D49" s="117" t="n">
        <x:f>SUM(D47:D48)</x:f>
        <x:v>284</x:v>
      </x:c>
      <x:c r="E49" s="117" t="n">
        <x:f>SUM(E47:E48)</x:f>
        <x:v>190</x:v>
      </x:c>
      <x:c r="F49" s="117" t="n">
        <x:f>SUM(F47:F48)</x:f>
        <x:v>110</x:v>
      </x:c>
      <x:c r="G49" t="str">
        <x:v>Calculated</x:v>
      </x:c>
      <x:c r="H49" s="4"/>
      <x:c r="I49" s="4"/>
      <x:c r="J49" s="4"/>
      <x:c r="K49" s="4"/>
      <x:c r="L49" s="4"/>
      <x:c r="M49" s="4"/>
    </x:row>
    <x:row r="50">
      <x:c r="A50" s="79"/>
      <x:c r="C50"/>
      <x:c r="D50"/>
      <x:c r="E50"/>
      <x:c r="F50"/>
      <x:c r="G50"/>
      <x:c r="H50" s="4"/>
      <x:c r="I50" s="4"/>
      <x:c r="J50" s="4"/>
      <x:c r="K50" s="4"/>
      <x:c r="L50" s="4"/>
      <x:c r="M50" s="4"/>
    </x:row>
    <x:row r="51">
      <x:c r="A51" s="79"/>
      <x:c r="C51"/>
      <x:c r="D51"/>
      <x:c r="E51"/>
      <x:c r="F51"/>
      <x:c r="G51"/>
      <x:c r="H51" s="4"/>
      <x:c r="I51" s="4"/>
      <x:c r="J51" s="4"/>
      <x:c r="K51" s="4"/>
      <x:c r="L51" s="4"/>
      <x:c r="M51" s="4"/>
    </x:row>
    <x:row r="52">
      <x:c r="A52" s="79"/>
      <x:c r="C52" s="182" t="str">
        <x:v>Operating normalization</x:v>
      </x:c>
      <x:c r="D52" s="183"/>
      <x:c r="E52" s="183"/>
      <x:c r="F52" s="183"/>
      <x:c r="G52" s="184"/>
      <x:c r="H52" s="4"/>
      <x:c r="I52" s="4"/>
      <x:c r="J52" s="4"/>
      <x:c r="K52" s="4"/>
      <x:c r="L52" s="4"/>
      <x:c r="M52" s="4"/>
    </x:row>
    <x:row r="53">
      <x:c r="A53" s="79"/>
      <x:c r="C53"/>
      <x:c r="D53"/>
      <x:c r="E53"/>
      <x:c r="F53"/>
      <x:c r="G53"/>
      <x:c r="H53" s="4"/>
      <x:c r="I53" s="4"/>
      <x:c r="J53" s="4"/>
      <x:c r="K53" s="4"/>
      <x:c r="L53" s="4"/>
      <x:c r="M53" s="4"/>
    </x:row>
    <x:row r="54">
      <x:c r="A54" s="79"/>
      <x:c r="C54" s="187" t="str">
        <x:v>Metric</x:v>
      </x:c>
      <x:c r="D54" s="187" t="str">
        <x:v>FY:23A</x:v>
      </x:c>
      <x:c r="E54" s="187" t="str">
        <x:v>FY:24A</x:v>
      </x:c>
      <x:c r="F54" s="187" t="str">
        <x:v>FY:25A</x:v>
      </x:c>
      <x:c r="G54" s="187" t="str">
        <x:v>Source ID</x:v>
      </x:c>
      <x:c r="H54" s="4"/>
      <x:c r="I54" s="4"/>
      <x:c r="J54" s="4"/>
      <x:c r="K54" s="4"/>
      <x:c r="L54" s="4"/>
      <x:c r="M54" s="4"/>
    </x:row>
    <x:row r="55">
      <x:c r="A55" s="79"/>
      <x:c r="C55" t="str">
        <x:v>Reported operating income</x:v>
      </x:c>
      <x:c r="D55" s="11" t="n">
        <x:f>D17</x:f>
        <x:v>318</x:v>
      </x:c>
      <x:c r="E55" s="11" t="n">
        <x:f>E17</x:f>
        <x:v>218</x:v>
      </x:c>
      <x:c r="F55" s="11" t="n">
        <x:f>F17</x:f>
        <x:v>245</x:v>
      </x:c>
      <x:c r="G55" t="str">
        <x:v>Calculated</x:v>
      </x:c>
      <x:c r="H55" s="4"/>
      <x:c r="I55" s="4"/>
      <x:c r="J55" s="4"/>
      <x:c r="K55" s="4"/>
      <x:c r="L55" s="4"/>
      <x:c r="M55" s="4"/>
    </x:row>
    <x:row r="56">
      <x:c r="A56" s="79"/>
      <x:c r="C56" t="str">
        <x:v>Transaction and integration costs</x:v>
      </x:c>
      <x:c r="D56" s="208" t="n">
        <x:v>34</x:v>
      </x:c>
      <x:c r="E56" s="209" t="n">
        <x:v>76</x:v>
      </x:c>
      <x:c r="F56" s="210" t="n">
        <x:v>54</x:v>
      </x:c>
      <x:c r="G56" t="str">
        <x:v>S01</x:v>
      </x:c>
      <x:c r="H56" s="4"/>
      <x:c r="I56" s="4"/>
      <x:c r="J56" s="4"/>
      <x:c r="K56" s="4"/>
      <x:c r="L56" s="4"/>
      <x:c r="M56" s="4"/>
    </x:row>
    <x:row r="57">
      <x:c r="A57" s="79"/>
      <x:c r="C57" t="str">
        <x:v>Restructuring costs and other</x:v>
      </x:c>
      <x:c r="D57" s="217" t="n">
        <x:v>25</x:v>
      </x:c>
      <x:c r="E57" s="218" t="n">
        <x:v>25</x:v>
      </x:c>
      <x:c r="F57" s="219" t="n">
        <x:v>27</x:v>
      </x:c>
      <x:c r="G57" t="str">
        <x:v>S01</x:v>
      </x:c>
      <x:c r="H57" s="4"/>
      <x:c r="I57" s="4"/>
      <x:c r="J57" s="4"/>
      <x:c r="K57" s="4"/>
      <x:c r="L57" s="4"/>
      <x:c r="M57" s="4"/>
    </x:row>
    <x:row r="58">
      <x:c r="A58" s="79"/>
      <x:c r="C58" t="str">
        <x:v>Regulatory matter and litigation expense</x:v>
      </x:c>
      <x:c r="D58" s="217" t="n">
        <x:v>0</x:v>
      </x:c>
      <x:c r="E58" s="218" t="n">
        <x:v>59</x:v>
      </x:c>
      <x:c r="F58" s="219" t="n">
        <x:v>65</x:v>
      </x:c>
      <x:c r="G58" t="str">
        <x:v>S01</x:v>
      </x:c>
      <x:c r="H58" s="4"/>
      <x:c r="I58" s="4"/>
      <x:c r="J58" s="4"/>
      <x:c r="K58" s="4"/>
      <x:c r="L58" s="4"/>
      <x:c r="M58" s="4"/>
    </x:row>
    <x:row r="59">
      <x:c r="A59" s="79"/>
      <x:c r="C59" t="str">
        <x:v>Net loss on divestiture</x:v>
      </x:c>
      <x:c r="D59" s="211" t="n">
        <x:v>7</x:v>
      </x:c>
      <x:c r="E59" s="212" t="n">
        <x:v>2</x:v>
      </x:c>
      <x:c r="F59" s="213" t="n">
        <x:v>34</x:v>
      </x:c>
      <x:c r="G59" t="str">
        <x:v>S01</x:v>
      </x:c>
      <x:c r="H59" s="4"/>
      <x:c r="I59" s="4"/>
      <x:c r="J59" s="4"/>
      <x:c r="K59" s="4"/>
      <x:c r="L59" s="4"/>
      <x:c r="M59" s="4"/>
    </x:row>
    <x:row r="60">
      <x:c r="A60" s="79"/>
      <x:c r="C60" s="104" t="str">
        <x:v>Total operating adjustments</x:v>
      </x:c>
      <x:c r="D60" s="117" t="n">
        <x:f>SUM(D56:D59)</x:f>
        <x:v>66</x:v>
      </x:c>
      <x:c r="E60" s="117" t="n">
        <x:f>SUM(E56:E59)</x:f>
        <x:v>162</x:v>
      </x:c>
      <x:c r="F60" s="117" t="n">
        <x:f>SUM(F56:F59)</x:f>
        <x:v>180</x:v>
      </x:c>
      <x:c r="G60" t="str">
        <x:v>Calculated</x:v>
      </x:c>
      <x:c r="H60" s="4"/>
      <x:c r="I60" s="4"/>
      <x:c r="J60" s="4"/>
      <x:c r="K60" s="4"/>
      <x:c r="L60" s="4"/>
      <x:c r="M60" s="4"/>
    </x:row>
    <x:row r="61">
      <x:c r="A61" s="79"/>
      <x:c r="C61" s="104" t="str">
        <x:v>Adjusted operating income</x:v>
      </x:c>
      <x:c r="D61" s="117" t="n">
        <x:f>SUM(D55,D60)</x:f>
        <x:v>384</x:v>
      </x:c>
      <x:c r="E61" s="117" t="n">
        <x:f>SUM(E55,E60)</x:f>
        <x:v>380</x:v>
      </x:c>
      <x:c r="F61" s="117" t="n">
        <x:f>SUM(F55,F60)</x:f>
        <x:v>425</x:v>
      </x:c>
      <x:c r="G61" t="str">
        <x:v>Calculated</x:v>
      </x:c>
      <x:c r="H61" s="4"/>
      <x:c r="I61" s="4"/>
      <x:c r="J61" s="4"/>
      <x:c r="K61" s="4"/>
      <x:c r="L61" s="4"/>
      <x:c r="M61" s="4"/>
    </x:row>
    <x:row r="62">
      <x:c r="A62" s="79"/>
      <x:c r="C62" t="str">
        <x:v>Add: depreciation and amortisation</x:v>
      </x:c>
      <x:c r="D62" s="214" t="n">
        <x:v>361</x:v>
      </x:c>
      <x:c r="E62" s="215" t="n">
        <x:v>415</x:v>
      </x:c>
      <x:c r="F62" s="216" t="n">
        <x:v>457</x:v>
      </x:c>
      <x:c r="G62" t="str">
        <x:v>S01</x:v>
      </x:c>
      <x:c r="H62" s="4"/>
      <x:c r="I62" s="4"/>
      <x:c r="J62" s="4"/>
      <x:c r="K62" s="4"/>
      <x:c r="L62" s="4"/>
      <x:c r="M62" s="4"/>
    </x:row>
    <x:row r="63">
      <x:c r="A63" s="79"/>
      <x:c r="C63" s="104" t="str">
        <x:v>Adjusted EBITDA</x:v>
      </x:c>
      <x:c r="D63" s="117" t="n">
        <x:f>SUM(D61:D62)</x:f>
        <x:v>745</x:v>
      </x:c>
      <x:c r="E63" s="117" t="n">
        <x:f>SUM(E61:E62)</x:f>
        <x:v>795</x:v>
      </x:c>
      <x:c r="F63" s="117" t="n">
        <x:f>SUM(F61:F62)</x:f>
        <x:v>882</x:v>
      </x:c>
      <x:c r="G63" t="str">
        <x:v>Calculated</x:v>
      </x:c>
      <x:c r="H63" s="4"/>
      <x:c r="I63" s="4"/>
      <x:c r="J63" s="4"/>
      <x:c r="K63" s="4"/>
      <x:c r="L63" s="4"/>
      <x:c r="M63" s="4"/>
    </x:row>
    <x:row r="64">
      <x:c r="A64" s="79"/>
      <x:c r="C64"/>
      <x:c r="D64"/>
      <x:c r="E64"/>
      <x:c r="F64"/>
      <x:c r="G64"/>
      <x:c r="H64" s="4"/>
      <x:c r="I64" s="4"/>
      <x:c r="J64" s="4"/>
      <x:c r="K64" s="4"/>
      <x:c r="L64" s="4"/>
      <x:c r="M64" s="4"/>
    </x:row>
    <x:row r="65">
      <x:c r="A65" s="79"/>
      <x:c r="C65"/>
      <x:c r="D65"/>
      <x:c r="E65"/>
      <x:c r="F65"/>
      <x:c r="G65"/>
      <x:c r="H65" s="4"/>
      <x:c r="I65" s="4"/>
      <x:c r="J65" s="4"/>
      <x:c r="K65" s="4"/>
      <x:c r="L65" s="4"/>
      <x:c r="M65" s="4"/>
    </x:row>
    <x:row r="66">
      <x:c r="A66" s="79"/>
      <x:c r="C66" s="182" t="str">
        <x:v>Key metrics</x:v>
      </x:c>
      <x:c r="D66" s="183"/>
      <x:c r="E66" s="183"/>
      <x:c r="F66" s="183"/>
      <x:c r="G66" s="184"/>
      <x:c r="H66" s="4"/>
      <x:c r="I66" s="4"/>
      <x:c r="J66" s="4"/>
      <x:c r="K66" s="4"/>
      <x:c r="L66" s="4"/>
      <x:c r="M66" s="4"/>
    </x:row>
    <x:row r="67">
      <x:c r="A67" s="79"/>
      <x:c r="C67"/>
      <x:c r="D67"/>
      <x:c r="E67"/>
      <x:c r="F67"/>
      <x:c r="G67"/>
      <x:c r="H67" s="4"/>
      <x:c r="I67" s="4"/>
      <x:c r="J67" s="4"/>
      <x:c r="K67" s="4"/>
      <x:c r="L67" s="4"/>
      <x:c r="M67" s="4"/>
    </x:row>
    <x:row r="68">
      <x:c r="A68" s="79"/>
      <x:c r="C68" s="187" t="str">
        <x:v>Metric</x:v>
      </x:c>
      <x:c r="D68" s="187" t="str">
        <x:v>FY:23A</x:v>
      </x:c>
      <x:c r="E68" s="187" t="str">
        <x:v>FY:24A</x:v>
      </x:c>
      <x:c r="F68" s="187" t="str">
        <x:v>FY:25A</x:v>
      </x:c>
      <x:c r="G68" s="187" t="str">
        <x:v>Source ID</x:v>
      </x:c>
      <x:c r="H68" s="4"/>
      <x:c r="I68" s="4"/>
      <x:c r="J68" s="4"/>
      <x:c r="K68" s="4"/>
      <x:c r="L68" s="4"/>
      <x:c r="M68" s="4"/>
    </x:row>
    <x:row r="69">
      <x:c r="A69" s="79"/>
      <x:c r="C69" t="str">
        <x:v>Revenue growth</x:v>
      </x:c>
      <x:c r="D69" s="76"/>
      <x:c r="E69" s="76" t="n">
        <x:f>E9/D9-1</x:f>
        <x:v>0.19748414808754355</x:v>
      </x:c>
      <x:c r="F69" s="76" t="n">
        <x:f>F9/E9-1</x:f>
        <x:v>0.1254590485950977</x:v>
      </x:c>
      <x:c r="G69" t="str">
        <x:v>Calculated</x:v>
      </x:c>
      <x:c r="H69" s="4"/>
      <x:c r="I69" s="4"/>
      <x:c r="J69" s="4"/>
      <x:c r="K69" s="4"/>
      <x:c r="L69" s="4"/>
      <x:c r="M69" s="4"/>
    </x:row>
    <x:row r="70">
      <x:c r="A70" s="79"/>
      <x:c r="C70" t="str">
        <x:v>Reported EBIT margin</x:v>
      </x:c>
      <x:c r="D70" s="76" t="n">
        <x:f>D17/D9</x:f>
        <x:v>0.032521988136633255</x:v>
      </x:c>
      <x:c r="E70" s="76" t="n">
        <x:f>E17/E9</x:f>
        <x:v>0.018618156973268424</x:v>
      </x:c>
      <x:c r="F70" s="76" t="n">
        <x:f>F17/F9</x:f>
        <x:v>0.018591592047351647</x:v>
      </x:c>
      <x:c r="G70" t="str">
        <x:v>Calculated</x:v>
      </x:c>
      <x:c r="H70" s="4"/>
      <x:c r="I70" s="4"/>
      <x:c r="J70" s="4"/>
      <x:c r="K70" s="4"/>
      <x:c r="L70" s="4"/>
      <x:c r="M70" s="4"/>
    </x:row>
    <x:row r="71">
      <x:c r="A71" s="79"/>
      <x:c r="C71" t="str">
        <x:v>Adjusted EBIT margin</x:v>
      </x:c>
      <x:c r="D71" s="76" t="n">
        <x:f>D61/D9</x:f>
        <x:v>0.03927183473102884</x:v>
      </x:c>
      <x:c r="E71" s="76" t="n">
        <x:f>E61/E9</x:f>
        <x:v>0.03245366811854129</x:v>
      </x:c>
      <x:c r="F71" s="76" t="n">
        <x:f>F61/F9</x:f>
        <x:v>0.032250720898467145</x:v>
      </x:c>
      <x:c r="G71" t="str">
        <x:v>Calculated</x:v>
      </x:c>
      <x:c r="H71" s="4"/>
      <x:c r="I71" s="4"/>
      <x:c r="J71" s="4"/>
      <x:c r="K71" s="4"/>
      <x:c r="L71" s="4"/>
      <x:c r="M71" s="4"/>
    </x:row>
    <x:row r="72">
      <x:c r="A72" s="79"/>
      <x:c r="C72" t="str">
        <x:v>Adjusted EBITDA margin</x:v>
      </x:c>
      <x:c r="D72" s="76" t="n">
        <x:f>D63/D9</x:f>
        <x:v>0.07619145019431377</x:v>
      </x:c>
      <x:c r="E72" s="76" t="n">
        <x:f>E63/E9</x:f>
        <x:v>0.06789648987957982</x:v>
      </x:c>
      <x:c r="F72" s="76" t="n">
        <x:f>F63/F9</x:f>
        <x:v>0.06692973137046593</x:v>
      </x:c>
      <x:c r="G72" t="str">
        <x:v>Calculated</x:v>
      </x:c>
      <x:c r="H72" s="4"/>
      <x:c r="I72" s="4"/>
      <x:c r="J72" s="4"/>
      <x:c r="K72" s="4"/>
      <x:c r="L72" s="4"/>
      <x:c r="M72" s="4"/>
    </x:row>
    <x:row r="73">
      <x:c r="A73" s="79"/>
      <x:c r="C73" t="str">
        <x:v>Effective tax rate</x:v>
      </x:c>
      <x:c r="D73" s="76" t="n">
        <x:f>-D22/D21</x:f>
        <x:v>0.12406015037593984</x:v>
      </x:c>
      <x:c r="E73" s="76" t="n">
        <x:f>-E22/E21</x:f>
        <x:v>0.0547945205479452</x:v>
      </x:c>
      <x:c r="F73" s="76" t="n">
        <x:f>-F22/F21</x:f>
        <x:v>0.6538461538461539</x:v>
      </x:c>
      <x:c r="G73" t="str">
        <x:v>Calculated</x:v>
      </x:c>
      <x:c r="H73" s="4"/>
      <x:c r="I73" s="4"/>
      <x:c r="J73" s="4"/>
      <x:c r="K73" s="4"/>
      <x:c r="L73" s="4"/>
      <x:c r="M73" s="4"/>
    </x:row>
    <x:row r="74">
      <x:c r="A74" s="79"/>
      <x:c r="C74" t="str">
        <x:v>Net debt</x:v>
      </x:c>
      <x:c r="D74" s="11" t="n">
        <x:f>D40-D31</x:f>
        <x:v>1179</x:v>
      </x:c>
      <x:c r="E74" s="11" t="n">
        <x:f>E40-E31</x:f>
        <x:v>2218</x:v>
      </x:c>
      <x:c r="F74" s="11" t="n">
        <x:f>F40-F31</x:f>
        <x:v>2211</x:v>
      </x:c>
      <x:c r="G74" t="str">
        <x:v>Calculated</x:v>
      </x:c>
      <x:c r="H74" s="4"/>
      <x:c r="I74" s="4"/>
      <x:c r="J74" s="4"/>
      <x:c r="K74" s="4"/>
      <x:c r="L74" s="4"/>
      <x:c r="M74" s="4"/>
    </x:row>
    <x:row r="75">
      <x:c r="A75" s="79"/>
      <x:c r="C75"/>
      <x:c r="D75"/>
      <x:c r="E75"/>
      <x:c r="F75"/>
      <x:c r="G75"/>
      <x:c r="H75" s="4"/>
      <x:c r="I75" s="4"/>
      <x:c r="J75" s="4"/>
      <x:c r="K75" s="4"/>
      <x:c r="L75" s="4"/>
      <x:c r="M75" s="4"/>
    </x:row>
    <x:row r="76">
      <x:c r="A76" s="79"/>
      <x:c r="C76"/>
      <x:c r="D76"/>
      <x:c r="E76"/>
      <x:c r="F76"/>
      <x:c r="G76"/>
      <x:c r="H76" s="4"/>
      <x:c r="I76" s="4"/>
      <x:c r="J76" s="4"/>
      <x:c r="K76" s="4"/>
      <x:c r="L76" s="4"/>
      <x:c r="M76" s="4"/>
    </x:row>
    <x:row r="77">
      <x:c r="A77" s="79"/>
      <x:c r="C77"/>
      <x:c r="D77"/>
      <x:c r="E77"/>
      <x:c r="F77"/>
      <x:c r="G77"/>
      <x:c r="H77" s="4"/>
      <x:c r="I77" s="4"/>
      <x:c r="J77" s="4"/>
      <x:c r="K77" s="4"/>
      <x:c r="L77" s="4"/>
      <x:c r="M77" s="4"/>
    </x:row>
    <x:row r="78">
      <x:c r="A78" s="79"/>
      <x:c r="C78"/>
      <x:c r="D78"/>
      <x:c r="E78"/>
      <x:c r="F78"/>
      <x:c r="G78"/>
      <x:c r="H78" s="4"/>
      <x:c r="I78" s="4"/>
      <x:c r="J78" s="4"/>
      <x:c r="K78" s="4"/>
      <x:c r="L78" s="4"/>
      <x:c r="M78" s="4"/>
    </x:row>
    <x:row r="79">
      <x:c r="A79" s="79"/>
      <x:c r="C79"/>
      <x:c r="D79"/>
      <x:c r="E79"/>
      <x:c r="F79"/>
      <x:c r="G79"/>
      <x:c r="H79" s="4"/>
      <x:c r="I79" s="4"/>
      <x:c r="J79" s="4"/>
      <x:c r="K79" s="4"/>
      <x:c r="L79" s="4"/>
      <x:c r="M79" s="4"/>
    </x:row>
    <x:row r="80">
      <x:c r="A80" s="79"/>
      <x:c r="C80"/>
      <x:c r="D80"/>
      <x:c r="E80"/>
      <x:c r="F80"/>
      <x:c r="G80"/>
      <x:c r="H80" s="4"/>
      <x:c r="I80" s="4"/>
      <x:c r="J80" s="4"/>
      <x:c r="K80" s="4"/>
      <x:c r="L80" s="4"/>
      <x:c r="M80" s="4"/>
    </x:row>
    <x:row r="81">
      <x:c r="A81" s="79"/>
      <x:c r="C81"/>
      <x:c r="D81"/>
      <x:c r="E81"/>
      <x:c r="F81"/>
      <x:c r="G81"/>
      <x:c r="H81" s="4"/>
      <x:c r="I81" s="4"/>
      <x:c r="J81" s="4"/>
      <x:c r="K81" s="4"/>
      <x:c r="L81" s="4"/>
      <x:c r="M81" s="4"/>
    </x:row>
    <x:row r="82">
      <x:c r="A82" s="79"/>
      <x:c r="C82"/>
      <x:c r="D82"/>
      <x:c r="E82"/>
      <x:c r="F82"/>
      <x:c r="G82"/>
      <x:c r="H82" s="4"/>
      <x:c r="I82" s="4"/>
      <x:c r="J82" s="4"/>
      <x:c r="K82" s="4"/>
      <x:c r="L82" s="4"/>
      <x:c r="M82" s="4"/>
    </x:row>
    <x:row r="83">
      <x:c r="A83" s="79"/>
      <x:c r="C83"/>
      <x:c r="D83"/>
      <x:c r="E83"/>
      <x:c r="F83"/>
      <x:c r="G83"/>
      <x:c r="H83" s="4"/>
      <x:c r="I83" s="4"/>
      <x:c r="J83" s="4"/>
      <x:c r="K83" s="4"/>
      <x:c r="L83" s="4"/>
      <x:c r="M83" s="4"/>
    </x:row>
    <x:row r="84">
      <x:c r="A84" s="79"/>
      <x:c r="C84"/>
      <x:c r="D84"/>
      <x:c r="E84"/>
      <x:c r="F84"/>
      <x:c r="G84"/>
      <x:c r="H84" s="4"/>
      <x:c r="I84" s="4"/>
      <x:c r="J84" s="4"/>
      <x:c r="K84" s="4"/>
      <x:c r="L84" s="4"/>
      <x:c r="M84" s="4"/>
    </x:row>
    <x:row r="85">
      <x:c r="A85" s="79"/>
      <x:c r="C85"/>
      <x:c r="D85"/>
      <x:c r="E85"/>
      <x:c r="F85"/>
      <x:c r="G85"/>
      <x:c r="H85" s="4"/>
      <x:c r="I85" s="4"/>
      <x:c r="J85" s="4"/>
      <x:c r="K85" s="4"/>
      <x:c r="L85" s="4"/>
      <x:c r="M85" s="4"/>
    </x:row>
    <x:row r="86">
      <x:c r="A86" s="79"/>
      <x:c r="C86"/>
      <x:c r="D86"/>
      <x:c r="E86"/>
      <x:c r="F86"/>
      <x:c r="G86"/>
      <x:c r="H86" s="4"/>
      <x:c r="I86" s="4"/>
      <x:c r="J86" s="4"/>
      <x:c r="K86" s="4"/>
      <x:c r="L86" s="4"/>
      <x:c r="M86" s="4"/>
    </x:row>
    <x:row r="87">
      <x:c r="A87" s="79"/>
      <x:c r="C87"/>
      <x:c r="D87"/>
      <x:c r="E87"/>
      <x:c r="F87"/>
      <x:c r="G87"/>
      <x:c r="H87" s="4"/>
      <x:c r="I87" s="4"/>
      <x:c r="J87" s="4"/>
      <x:c r="K87" s="4"/>
      <x:c r="L87" s="4"/>
      <x:c r="M87" s="4"/>
    </x:row>
    <x:row r="88">
      <x:c r="A88" s="79"/>
      <x:c r="C88"/>
      <x:c r="D88"/>
      <x:c r="E88"/>
      <x:c r="F88"/>
      <x:c r="G88"/>
      <x:c r="H88" s="4"/>
      <x:c r="I88" s="4"/>
      <x:c r="J88" s="4"/>
      <x:c r="K88" s="4"/>
      <x:c r="L88" s="4"/>
      <x:c r="M88" s="4"/>
    </x:row>
    <x:row r="89">
      <x:c r="A89" s="79"/>
      <x:c r="C89"/>
      <x:c r="D89"/>
      <x:c r="E89"/>
      <x:c r="F89"/>
      <x:c r="G89"/>
      <x:c r="H89" s="4"/>
      <x:c r="I89" s="4"/>
      <x:c r="J89" s="4"/>
      <x:c r="K89" s="4"/>
      <x:c r="L89" s="4"/>
      <x:c r="M89" s="4"/>
    </x:row>
    <x:row r="90">
      <x:c r="A90" s="79"/>
      <x:c r="C90"/>
      <x:c r="D90"/>
      <x:c r="E90"/>
      <x:c r="F90"/>
      <x:c r="G90"/>
      <x:c r="H90" s="4"/>
      <x:c r="I90" s="4"/>
      <x:c r="J90" s="4"/>
      <x:c r="K90" s="4"/>
      <x:c r="L90" s="4"/>
      <x:c r="M90" s="4"/>
    </x:row>
    <x:row r="91">
      <x:c r="A91" s="79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>
      <x:c r="A92" s="79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>
      <x:c r="A93" s="79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79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>
      <x:c r="A95" s="79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>
      <x:c r="A96" s="79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79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79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79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79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Standalone forecasts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Standalone buyer and target forecasts before transaction effects | USD in millions except per-share data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226" t="str">
        <x:v>Selected operating + transaction case</x:v>
      </x:c>
      <x:c r="D6" s="258" t="str">
        <x:v>Base</x:v>
      </x:c>
      <x:c r="E6" s="3" t="str">
        <x:v>Actual</x:v>
      </x:c>
      <x:c r="F6" s="3" t="str">
        <x:v>Actual</x:v>
      </x:c>
      <x:c r="G6" s="3" t="str">
        <x:v>Forecast</x:v>
      </x:c>
      <x:c r="H6" s="3" t="str">
        <x:v>Forecast</x:v>
      </x:c>
      <x:c r="I6" s="3" t="str">
        <x:v>Forecast</x:v>
      </x:c>
      <x:c r="J6" s="4"/>
      <x:c r="K6" s="4"/>
      <x:c r="L6" s="4"/>
      <x:c r="M6" s="4"/>
    </x:row>
    <x:row r="7">
      <x:c r="A7" s="79"/>
      <x:c r="C7"/>
      <x:c r="D7"/>
      <x:c r="E7"/>
      <x:c r="F7"/>
      <x:c r="G7"/>
      <x:c r="H7"/>
      <x:c r="I7"/>
      <x:c r="J7" s="4"/>
      <x:c r="K7" s="4"/>
      <x:c r="L7" s="4"/>
      <x:c r="M7" s="4"/>
    </x:row>
    <x:row r="8">
      <x:c r="A8" s="79"/>
      <x:c r="C8"/>
      <x:c r="D8"/>
      <x:c r="E8"/>
      <x:c r="F8"/>
      <x:c r="G8"/>
      <x:c r="H8"/>
      <x:c r="I8"/>
      <x:c r="J8" s="4"/>
      <x:c r="K8" s="4"/>
      <x:c r="L8" s="4"/>
      <x:c r="M8" s="4"/>
    </x:row>
    <x:row r="9">
      <x:c r="A9" s="79"/>
      <x:c r="C9" s="261" t="str">
        <x:v>UPS standalone forecast</x:v>
      </x:c>
      <x:c r="D9" s="262"/>
      <x:c r="E9" s="262"/>
      <x:c r="F9" s="262"/>
      <x:c r="G9" s="262"/>
      <x:c r="H9" s="262"/>
      <x:c r="I9" s="263"/>
      <x:c r="J9" s="4"/>
      <x:c r="K9" s="4"/>
      <x:c r="L9" s="4"/>
      <x:c r="M9" s="4"/>
    </x:row>
    <x:row r="10">
      <x:c r="A10" s="79"/>
      <x:c r="C10"/>
      <x:c r="D10"/>
      <x:c r="E10"/>
      <x:c r="F10"/>
      <x:c r="G10"/>
      <x:c r="H10"/>
      <x:c r="I10"/>
      <x:c r="J10" s="4"/>
      <x:c r="K10" s="4"/>
      <x:c r="L10" s="4"/>
      <x:c r="M10" s="4"/>
    </x:row>
    <x:row r="11">
      <x:c r="A11" s="79"/>
      <x:c r="C11" s="266" t="str">
        <x:v>Metric</x:v>
      </x:c>
      <x:c r="D11" s="266" t="str">
        <x:v>FY:23A</x:v>
      </x:c>
      <x:c r="E11" s="266" t="str">
        <x:v>FY:24A</x:v>
      </x:c>
      <x:c r="F11" s="266" t="str">
        <x:v>FY:25A</x:v>
      </x:c>
      <x:c r="G11" s="266" t="str">
        <x:v>FY:26E</x:v>
      </x:c>
      <x:c r="H11" s="266" t="str">
        <x:v>FY:27E</x:v>
      </x:c>
      <x:c r="I11" s="266" t="str">
        <x:v>FY:28E</x:v>
      </x:c>
      <x:c r="J11" s="4"/>
      <x:c r="K11" s="4"/>
      <x:c r="L11" s="4"/>
      <x:c r="M11" s="4"/>
    </x:row>
    <x:row r="12">
      <x:c r="A12" s="79"/>
      <x:c r="C12" t="str">
        <x:v>Revenue</x:v>
      </x:c>
      <x:c r="D12" s="12" t="n">
        <x:f>'Buyer Financials'!D9</x:f>
        <x:v>90958</x:v>
      </x:c>
      <x:c r="E12" s="12" t="n">
        <x:f>'Buyer Financials'!E9</x:f>
        <x:v>91070</x:v>
      </x:c>
      <x:c r="F12" s="12" t="n">
        <x:f>'Buyer Financials'!F9</x:f>
        <x:v>88661</x:v>
      </x:c>
      <x:c r="G12" s="269" t="n">
        <x:f>F12*(1+G57)</x:f>
        <x:v>89724.932</x:v>
      </x:c>
      <x:c r="H12" s="269" t="n">
        <x:f>G12*(1+H57)</x:f>
        <x:v>91968.05529999999</x:v>
      </x:c>
      <x:c r="I12" s="269" t="n">
        <x:f>H12*(1+I57)</x:f>
        <x:v>94727.09695899999</x:v>
      </x:c>
      <x:c r="J12" s="4"/>
      <x:c r="K12" s="4"/>
      <x:c r="L12" s="4"/>
      <x:c r="M12" s="4"/>
    </x:row>
    <x:row r="13">
      <x:c r="A13" s="79"/>
      <x:c r="C13" t="str">
        <x:v>Revenue growth</x:v>
      </x:c>
      <x:c r="D13" s="72"/>
      <x:c r="E13" s="72" t="n">
        <x:f>E12/D12-1</x:f>
        <x:v>0.0012313375404031657</x:v>
      </x:c>
      <x:c r="F13" s="72" t="n">
        <x:f>F12/E12-1</x:f>
        <x:v>-0.026452179642033613</x:v>
      </x:c>
      <x:c r="G13" s="270" t="n">
        <x:f>G12/F12-1</x:f>
        <x:v>0.01200000000000001</x:v>
      </x:c>
      <x:c r="H13" s="270" t="n">
        <x:f>H12/G12-1</x:f>
        <x:v>0.02499999999999991</x:v>
      </x:c>
      <x:c r="I13" s="270" t="n">
        <x:f>I12/H12-1</x:f>
        <x:v>0.030000000000000027</x:v>
      </x:c>
      <x:c r="J13" s="4"/>
      <x:c r="K13" s="4"/>
      <x:c r="L13" s="4"/>
      <x:c r="M13" s="4"/>
    </x:row>
    <x:row r="14">
      <x:c r="A14" s="79"/>
      <x:c r="C14" s="104" t="str">
        <x:v>Adjusted operating profit</x:v>
      </x:c>
      <x:c r="D14" s="117" t="n">
        <x:f>'Buyer Financials'!D56</x:f>
        <x:v>9873</x:v>
      </x:c>
      <x:c r="E14" s="117" t="n">
        <x:f>'Buyer Financials'!E56</x:f>
        <x:v>8894</x:v>
      </x:c>
      <x:c r="F14" s="117" t="n">
        <x:f>'Buyer Financials'!F56</x:f>
        <x:v>8661</x:v>
      </x:c>
      <x:c r="G14" s="273" t="n">
        <x:f>G12*G58</x:f>
        <x:v>8613.593472</x:v>
      </x:c>
      <x:c r="H14" s="273" t="n">
        <x:f>H12*H58</x:f>
        <x:v>9104.8374747</x:v>
      </x:c>
      <x:c r="I14" s="273" t="n">
        <x:f>I12*I58</x:f>
        <x:v>9662.163889817999</x:v>
      </x:c>
      <x:c r="J14" s="4"/>
      <x:c r="K14" s="4"/>
      <x:c r="L14" s="4"/>
      <x:c r="M14" s="4"/>
    </x:row>
    <x:row r="15">
      <x:c r="A15" s="79"/>
      <x:c r="C15" t="str">
        <x:v>Adjusted EBIT margin</x:v>
      </x:c>
      <x:c r="D15" s="72" t="n">
        <x:f>D14/D12</x:f>
        <x:v>0.10854460300358407</x:v>
      </x:c>
      <x:c r="E15" s="72" t="n">
        <x:f>E14/E12</x:f>
        <x:v>0.09766113978258482</x:v>
      </x:c>
      <x:c r="F15" s="72" t="n">
        <x:f>F14/F12</x:f>
        <x:v>0.09768669426241526</x:v>
      </x:c>
      <x:c r="G15" s="270" t="n">
        <x:f>G14/G12</x:f>
        <x:v>0.096</x:v>
      </x:c>
      <x:c r="H15" s="270" t="n">
        <x:f>H14/H12</x:f>
        <x:v>0.099</x:v>
      </x:c>
      <x:c r="I15" s="270" t="n">
        <x:f>I14/I12</x:f>
        <x:v>0.10200000000000001</x:v>
      </x:c>
      <x:c r="J15" s="4"/>
      <x:c r="K15" s="4"/>
      <x:c r="L15" s="4"/>
      <x:c r="M15" s="4"/>
    </x:row>
    <x:row r="16">
      <x:c r="A16" s="79"/>
      <x:c r="C16" t="str">
        <x:v>Depreciation and amortisation</x:v>
      </x:c>
      <x:c r="D16" s="12" t="n">
        <x:f>'Buyer Financials'!D12</x:f>
        <x:v>3366</x:v>
      </x:c>
      <x:c r="E16" s="12" t="n">
        <x:f>'Buyer Financials'!E12</x:f>
        <x:v>3609</x:v>
      </x:c>
      <x:c r="F16" s="12" t="n">
        <x:f>'Buyer Financials'!F12</x:f>
        <x:v>3746</x:v>
      </x:c>
      <x:c r="G16" s="269" t="n">
        <x:f>G12*G59</x:f>
        <x:v>3768.447144</x:v>
      </x:c>
      <x:c r="H16" s="269" t="n">
        <x:f>H12*H59</x:f>
        <x:v>3770.6902673</x:v>
      </x:c>
      <x:c r="I16" s="269" t="n">
        <x:f>I12*I59</x:f>
        <x:v>3789.0838783599997</x:v>
      </x:c>
      <x:c r="J16" s="4"/>
      <x:c r="K16" s="4"/>
      <x:c r="L16" s="4"/>
      <x:c r="M16" s="4"/>
    </x:row>
    <x:row r="17">
      <x:c r="A17" s="79"/>
      <x:c r="C17" s="104" t="str">
        <x:v>Adjusted EBITDA</x:v>
      </x:c>
      <x:c r="D17" s="117" t="n">
        <x:f>'Buyer Financials'!D57</x:f>
        <x:v>13239</x:v>
      </x:c>
      <x:c r="E17" s="117" t="n">
        <x:f>'Buyer Financials'!E57</x:f>
        <x:v>12503</x:v>
      </x:c>
      <x:c r="F17" s="117" t="n">
        <x:f>'Buyer Financials'!F57</x:f>
        <x:v>12407</x:v>
      </x:c>
      <x:c r="G17" s="273" t="n">
        <x:f>G14+G16</x:f>
        <x:v>12382.040616</x:v>
      </x:c>
      <x:c r="H17" s="273" t="n">
        <x:f>H14+H16</x:f>
        <x:v>12875.527742</x:v>
      </x:c>
      <x:c r="I17" s="273" t="n">
        <x:f>I14+I16</x:f>
        <x:v>13451.247768177998</x:v>
      </x:c>
      <x:c r="J17" s="4"/>
      <x:c r="K17" s="4"/>
      <x:c r="L17" s="4"/>
      <x:c r="M17" s="4"/>
    </x:row>
    <x:row r="18">
      <x:c r="A18" s="79"/>
      <x:c r="C18" t="str">
        <x:v>Adjusted EBITDA margin</x:v>
      </x:c>
      <x:c r="D18" s="72" t="n">
        <x:f>D17/D12</x:f>
        <x:v>0.14555069372677498</x:v>
      </x:c>
      <x:c r="E18" s="72" t="n">
        <x:f>E17/E12</x:f>
        <x:v>0.13728999670583067</x:v>
      </x:c>
      <x:c r="F18" s="72" t="n">
        <x:f>F17/F12</x:f>
        <x:v>0.13993751480357766</x:v>
      </x:c>
      <x:c r="G18" s="270" t="n">
        <x:f>G17/G12</x:f>
        <x:v>0.138</x:v>
      </x:c>
      <x:c r="H18" s="270" t="n">
        <x:f>H17/H12</x:f>
        <x:v>0.14</x:v>
      </x:c>
      <x:c r="I18" s="270" t="n">
        <x:f>I17/I12</x:f>
        <x:v>0.142</x:v>
      </x:c>
      <x:c r="J18" s="4"/>
      <x:c r="K18" s="4"/>
      <x:c r="L18" s="4"/>
      <x:c r="M18" s="4"/>
    </x:row>
    <x:row r="19">
      <x:c r="A19" s="79"/>
      <x:c r="C19" s="104" t="str">
        <x:v>Net income (reported actual / adjusted forecast)</x:v>
      </x:c>
      <x:c r="D19" s="117" t="n">
        <x:f>'Buyer Financials'!D18</x:f>
        <x:v>6708</x:v>
      </x:c>
      <x:c r="E19" s="117" t="n">
        <x:f>'Buyer Financials'!E18</x:f>
        <x:v>5782</x:v>
      </x:c>
      <x:c r="F19" s="117" t="n">
        <x:f>'Buyer Financials'!F18</x:f>
        <x:v>5572</x:v>
      </x:c>
      <x:c r="G19" s="273" t="n">
        <x:f>G12*G60</x:f>
        <x:v>5832.12058</x:v>
      </x:c>
      <x:c r="H19" s="273" t="n">
        <x:f>H12*H60</x:f>
        <x:v>6161.8597051</x:v>
      </x:c>
      <x:c r="I19" s="273" t="n">
        <x:f>I12*I60</x:f>
        <x:v>6536.169690170999</x:v>
      </x:c>
      <x:c r="J19" s="4"/>
      <x:c r="K19" s="4"/>
      <x:c r="L19" s="4"/>
      <x:c r="M19" s="4"/>
    </x:row>
    <x:row r="20">
      <x:c r="A20" s="79"/>
      <x:c r="C20" t="str">
        <x:v>Net income margin</x:v>
      </x:c>
      <x:c r="D20" s="72" t="n">
        <x:f>D19/D12</x:f>
        <x:v>0.07374832340200972</x:v>
      </x:c>
      <x:c r="E20" s="72" t="n">
        <x:f>E19/E12</x:f>
        <x:v>0.06348962336664105</x:v>
      </x:c>
      <x:c r="F20" s="72" t="n">
        <x:f>F19/F12</x:f>
        <x:v>0.06284612174462277</x:v>
      </x:c>
      <x:c r="G20" s="270" t="n">
        <x:f>G19/G12</x:f>
        <x:v>0.065</x:v>
      </x:c>
      <x:c r="H20" s="270" t="n">
        <x:f>H19/H12</x:f>
        <x:v>0.067</x:v>
      </x:c>
      <x:c r="I20" s="270" t="n">
        <x:f>I19/I12</x:f>
        <x:v>0.069</x:v>
      </x:c>
      <x:c r="J20" s="4"/>
      <x:c r="K20" s="4"/>
      <x:c r="L20" s="4"/>
      <x:c r="M20" s="4"/>
    </x:row>
    <x:row r="21">
      <x:c r="A21" s="79"/>
      <x:c r="C21" t="str">
        <x:v>Diluted shares</x:v>
      </x:c>
      <x:c r="D21" s="12" t="n">
        <x:f>'Buyer Financials'!D19</x:f>
        <x:v>860</x:v>
      </x:c>
      <x:c r="E21" s="12" t="n">
        <x:f>'Buyer Financials'!E19</x:f>
        <x:v>857</x:v>
      </x:c>
      <x:c r="F21" s="12" t="n">
        <x:f>'Buyer Financials'!F19</x:f>
        <x:v>849</x:v>
      </x:c>
      <x:c r="G21" s="269" t="n">
        <x:f>F21*(1+G61)</x:f>
        <x:v>844.755</x:v>
      </x:c>
      <x:c r="H21" s="269" t="n">
        <x:f>G21*(1+H61)</x:f>
        <x:v>840.531225</x:v>
      </x:c>
      <x:c r="I21" s="269" t="n">
        <x:f>H21*(1+I61)</x:f>
        <x:v>836.328568875</x:v>
      </x:c>
      <x:c r="J21" s="4"/>
      <x:c r="K21" s="4"/>
      <x:c r="L21" s="4"/>
      <x:c r="M21" s="4"/>
    </x:row>
    <x:row r="22">
      <x:c r="A22" s="79"/>
      <x:c r="C22" s="104" t="str">
        <x:v>EPS (reported actual / adjusted forecast)</x:v>
      </x:c>
      <x:c r="D22" s="248" t="n">
        <x:f>'Buyer Financials'!D20</x:f>
        <x:v>7.8</x:v>
      </x:c>
      <x:c r="E22" s="248" t="n">
        <x:f>'Buyer Financials'!E20</x:f>
        <x:v>6.75</x:v>
      </x:c>
      <x:c r="F22" s="248" t="n">
        <x:f>'Buyer Financials'!F20</x:f>
        <x:v>6.56</x:v>
      </x:c>
      <x:c r="G22" s="275" t="n">
        <x:f>G19/G21</x:f>
        <x:v>6.903919574314446</x:v>
      </x:c>
      <x:c r="H22" s="275" t="n">
        <x:f>H19/H21</x:f>
        <x:v>7.330911121237643</x:v>
      </x:c>
      <x:c r="I22" s="275" t="n">
        <x:f>I19/I21</x:f>
        <x:v>7.81531318362498</x:v>
      </x:c>
      <x:c r="J22" s="4"/>
      <x:c r="K22" s="4"/>
      <x:c r="L22" s="4"/>
      <x:c r="M22" s="4"/>
    </x:row>
    <x:row r="23">
      <x:c r="A23" s="79"/>
      <x:c r="C23"/>
      <x:c r="D23"/>
      <x:c r="E23"/>
      <x:c r="F23"/>
      <x:c r="G23"/>
      <x:c r="H23"/>
      <x:c r="I23"/>
      <x:c r="J23" s="4"/>
      <x:c r="K23" s="4"/>
      <x:c r="L23" s="4"/>
      <x:c r="M23" s="4"/>
    </x:row>
    <x:row r="24">
      <x:c r="A24" s="79"/>
      <x:c r="C24"/>
      <x:c r="D24"/>
      <x:c r="E24"/>
      <x:c r="F24"/>
      <x:c r="G24"/>
      <x:c r="H24"/>
      <x:c r="I24"/>
      <x:c r="J24" s="4"/>
      <x:c r="K24" s="4"/>
      <x:c r="L24" s="4"/>
      <x:c r="M24" s="4"/>
    </x:row>
    <x:row r="25">
      <x:c r="A25" s="79"/>
      <x:c r="C25" s="261" t="str">
        <x:v>GXO standalone forecast</x:v>
      </x:c>
      <x:c r="D25" s="262"/>
      <x:c r="E25" s="262"/>
      <x:c r="F25" s="262"/>
      <x:c r="G25" s="262"/>
      <x:c r="H25" s="262"/>
      <x:c r="I25" s="263"/>
      <x:c r="J25" s="4"/>
      <x:c r="K25" s="4"/>
      <x:c r="L25" s="4"/>
      <x:c r="M25" s="4"/>
    </x:row>
    <x:row r="26">
      <x:c r="A26" s="79"/>
      <x:c r="C26"/>
      <x:c r="D26"/>
      <x:c r="E26"/>
      <x:c r="F26"/>
      <x:c r="G26"/>
      <x:c r="H26"/>
      <x:c r="I26"/>
      <x:c r="J26" s="4"/>
      <x:c r="K26" s="4"/>
      <x:c r="L26" s="4"/>
      <x:c r="M26" s="4"/>
    </x:row>
    <x:row r="27">
      <x:c r="A27" s="79"/>
      <x:c r="C27" s="266" t="str">
        <x:v>Metric</x:v>
      </x:c>
      <x:c r="D27" s="266" t="str">
        <x:v>FY:23A</x:v>
      </x:c>
      <x:c r="E27" s="266" t="str">
        <x:v>FY:24A</x:v>
      </x:c>
      <x:c r="F27" s="266" t="str">
        <x:v>FY:25A</x:v>
      </x:c>
      <x:c r="G27" s="266" t="str">
        <x:v>FY:26E</x:v>
      </x:c>
      <x:c r="H27" s="266" t="str">
        <x:v>FY:27E</x:v>
      </x:c>
      <x:c r="I27" s="266" t="str">
        <x:v>FY:28E</x:v>
      </x:c>
      <x:c r="J27" s="4"/>
      <x:c r="K27" s="4"/>
      <x:c r="L27" s="4"/>
      <x:c r="M27" s="4"/>
    </x:row>
    <x:row r="28">
      <x:c r="A28" s="79"/>
      <x:c r="C28" t="str">
        <x:v>Revenue</x:v>
      </x:c>
      <x:c r="D28" s="12" t="n">
        <x:f>'Target Financials'!D9</x:f>
        <x:v>9778</x:v>
      </x:c>
      <x:c r="E28" s="12" t="n">
        <x:f>'Target Financials'!E9</x:f>
        <x:v>11709</x:v>
      </x:c>
      <x:c r="F28" s="12" t="n">
        <x:f>'Target Financials'!F9</x:f>
        <x:v>13178</x:v>
      </x:c>
      <x:c r="G28" s="269" t="n">
        <x:f>F28*(1+G89)</x:f>
        <x:v>13771.009999999998</x:v>
      </x:c>
      <x:c r="H28" s="269" t="n">
        <x:f>G28*(1+H89)</x:f>
        <x:v>14459.5605</x:v>
      </x:c>
      <x:c r="I28" s="269" t="n">
        <x:f>H28*(1+I89)</x:f>
        <x:v>15182.538525</x:v>
      </x:c>
      <x:c r="J28" s="4"/>
      <x:c r="K28" s="4"/>
      <x:c r="L28" s="4"/>
      <x:c r="M28" s="4"/>
    </x:row>
    <x:row r="29">
      <x:c r="A29" s="79"/>
      <x:c r="C29" t="str">
        <x:v>Revenue growth</x:v>
      </x:c>
      <x:c r="D29" s="72"/>
      <x:c r="E29" s="72" t="n">
        <x:f>E28/D28-1</x:f>
        <x:v>0.19748414808754355</x:v>
      </x:c>
      <x:c r="F29" s="72" t="n">
        <x:f>F28/E28-1</x:f>
        <x:v>0.1254590485950977</x:v>
      </x:c>
      <x:c r="G29" s="270" t="n">
        <x:f>G28/F28-1</x:f>
        <x:v>0.04499999999999993</x:v>
      </x:c>
      <x:c r="H29" s="270" t="n">
        <x:f>H28/G28-1</x:f>
        <x:v>0.050000000000000044</x:v>
      </x:c>
      <x:c r="I29" s="270" t="n">
        <x:f>I28/H28-1</x:f>
        <x:v>0.050000000000000044</x:v>
      </x:c>
      <x:c r="J29" s="4"/>
      <x:c r="K29" s="4"/>
      <x:c r="L29" s="4"/>
      <x:c r="M29" s="4"/>
    </x:row>
    <x:row r="30">
      <x:c r="A30" s="79"/>
      <x:c r="C30" s="104" t="str">
        <x:v>Adjusted EBITDA</x:v>
      </x:c>
      <x:c r="D30" s="117" t="n">
        <x:f>'Target Financials'!D63</x:f>
        <x:v>745</x:v>
      </x:c>
      <x:c r="E30" s="117" t="n">
        <x:f>'Target Financials'!E63</x:f>
        <x:v>795</x:v>
      </x:c>
      <x:c r="F30" s="117" t="n">
        <x:f>'Target Financials'!F63</x:f>
        <x:v>882</x:v>
      </x:c>
      <x:c r="G30" s="273" t="n">
        <x:f>G28*G90</x:f>
        <x:v>950.1996899999999</x:v>
      </x:c>
      <x:c r="H30" s="273" t="n">
        <x:f>H28*H90</x:f>
        <x:v>1026.6287954999998</x:v>
      </x:c>
      <x:c r="I30" s="273" t="n">
        <x:f>I28*I90</x:f>
        <x:v>1108.325312325</x:v>
      </x:c>
      <x:c r="J30" s="4"/>
      <x:c r="K30" s="4"/>
      <x:c r="L30" s="4"/>
      <x:c r="M30" s="4"/>
    </x:row>
    <x:row r="31">
      <x:c r="A31" s="79"/>
      <x:c r="C31" t="str">
        <x:v>Adjusted EBITDA margin</x:v>
      </x:c>
      <x:c r="D31" s="72" t="n">
        <x:f>D30/D28</x:f>
        <x:v>0.07619145019431377</x:v>
      </x:c>
      <x:c r="E31" s="72" t="n">
        <x:f>E30/E28</x:f>
        <x:v>0.06789648987957982</x:v>
      </x:c>
      <x:c r="F31" s="72" t="n">
        <x:f>F30/F28</x:f>
        <x:v>0.06692973137046593</x:v>
      </x:c>
      <x:c r="G31" s="270" t="n">
        <x:f>G30/G28</x:f>
        <x:v>0.069</x:v>
      </x:c>
      <x:c r="H31" s="270" t="n">
        <x:f>H30/H28</x:f>
        <x:v>0.071</x:v>
      </x:c>
      <x:c r="I31" s="270" t="n">
        <x:f>I30/I28</x:f>
        <x:v>0.073</x:v>
      </x:c>
      <x:c r="J31" s="4"/>
      <x:c r="K31" s="4"/>
      <x:c r="L31" s="4"/>
      <x:c r="M31" s="4"/>
    </x:row>
    <x:row r="32">
      <x:c r="A32" s="79"/>
      <x:c r="C32" t="str">
        <x:v>Depreciation and amortisation</x:v>
      </x:c>
      <x:c r="D32" s="12" t="n">
        <x:f>-'Target Financials'!D12</x:f>
        <x:v>361</x:v>
      </x:c>
      <x:c r="E32" s="12" t="n">
        <x:f>-'Target Financials'!E12</x:f>
        <x:v>415</x:v>
      </x:c>
      <x:c r="F32" s="12" t="n">
        <x:f>-'Target Financials'!F12</x:f>
        <x:v>457</x:v>
      </x:c>
      <x:c r="G32" s="269" t="n">
        <x:f>G28*G91</x:f>
        <x:v>481.98535</x:v>
      </x:c>
      <x:c r="H32" s="269" t="n">
        <x:f>H28*H91</x:f>
        <x:v>491.625057</x:v>
      </x:c>
      <x:c r="I32" s="269" t="n">
        <x:f>I28*I91</x:f>
        <x:v>501.02377132500004</x:v>
      </x:c>
      <x:c r="J32" s="4"/>
      <x:c r="K32" s="4"/>
      <x:c r="L32" s="4"/>
      <x:c r="M32" s="4"/>
    </x:row>
    <x:row r="33">
      <x:c r="A33" s="79"/>
      <x:c r="C33" s="104" t="str">
        <x:v>Adjusted operating income</x:v>
      </x:c>
      <x:c r="D33" s="117" t="n">
        <x:f>'Target Financials'!D61</x:f>
        <x:v>384</x:v>
      </x:c>
      <x:c r="E33" s="117" t="n">
        <x:f>'Target Financials'!E61</x:f>
        <x:v>380</x:v>
      </x:c>
      <x:c r="F33" s="117" t="n">
        <x:f>'Target Financials'!F61</x:f>
        <x:v>425</x:v>
      </x:c>
      <x:c r="G33" s="273" t="n">
        <x:f>G30-G32</x:f>
        <x:v>468.21433999999994</x:v>
      </x:c>
      <x:c r="H33" s="273" t="n">
        <x:f>H30-H32</x:f>
        <x:v>535.0037384999998</x:v>
      </x:c>
      <x:c r="I33" s="273" t="n">
        <x:f>I30-I32</x:f>
        <x:v>607.3015409999998</x:v>
      </x:c>
      <x:c r="J33" s="4"/>
      <x:c r="K33" s="4"/>
      <x:c r="L33" s="4"/>
      <x:c r="M33" s="4"/>
    </x:row>
    <x:row r="34">
      <x:c r="A34" s="79"/>
      <x:c r="C34" t="str">
        <x:v>Adjusted EBIT margin</x:v>
      </x:c>
      <x:c r="D34" s="72" t="n">
        <x:f>D33/D28</x:f>
        <x:v>0.03927183473102884</x:v>
      </x:c>
      <x:c r="E34" s="72" t="n">
        <x:f>E33/E28</x:f>
        <x:v>0.03245366811854129</x:v>
      </x:c>
      <x:c r="F34" s="72" t="n">
        <x:f>F33/F28</x:f>
        <x:v>0.032250720898467145</x:v>
      </x:c>
      <x:c r="G34" s="270" t="n">
        <x:f>G33/G28</x:f>
        <x:v>0.034</x:v>
      </x:c>
      <x:c r="H34" s="270" t="n">
        <x:f>H33/H28</x:f>
        <x:v>0.03699999999999999</x:v>
      </x:c>
      <x:c r="I34" s="270" t="n">
        <x:f>I33/I28</x:f>
        <x:v>0.03999999999999999</x:v>
      </x:c>
      <x:c r="J34" s="4"/>
      <x:c r="K34" s="4"/>
      <x:c r="L34" s="4"/>
      <x:c r="M34" s="4"/>
    </x:row>
    <x:row r="35">
      <x:c r="A35" s="79"/>
      <x:c r="C35" s="104" t="str">
        <x:v>Net income (reported actual / adjusted forecast)</x:v>
      </x:c>
      <x:c r="D35" s="117" t="n">
        <x:f>'Target Financials'!D23</x:f>
        <x:v>229</x:v>
      </x:c>
      <x:c r="E35" s="117" t="n">
        <x:f>'Target Financials'!E23</x:f>
        <x:v>134</x:v>
      </x:c>
      <x:c r="F35" s="117" t="n">
        <x:f>'Target Financials'!F23</x:f>
        <x:v>32</x:v>
      </x:c>
      <x:c r="G35" s="273" t="n">
        <x:f>G28*G92</x:f>
        <x:v>348.406553</x:v>
      </x:c>
      <x:c r="H35" s="273" t="n">
        <x:f>H28*H92</x:f>
        <x:v>390.40813349999996</x:v>
      </x:c>
      <x:c r="I35" s="273" t="n">
        <x:f>I28*I92</x:f>
        <x:v>440.29361722500005</x:v>
      </x:c>
      <x:c r="J35" s="4"/>
      <x:c r="K35" s="4"/>
      <x:c r="L35" s="4"/>
      <x:c r="M35" s="4"/>
    </x:row>
    <x:row r="36">
      <x:c r="A36" s="79"/>
      <x:c r="C36" t="str">
        <x:v>Net income margin</x:v>
      </x:c>
      <x:c r="D36" s="72" t="n">
        <x:f>D35/D28</x:f>
        <x:v>0.02341992227449376</x:v>
      </x:c>
      <x:c r="E36" s="72" t="n">
        <x:f>E35/E28</x:f>
        <x:v>0.011444188231275087</x:v>
      </x:c>
      <x:c r="F36" s="72" t="n">
        <x:f>F35/F28</x:f>
        <x:v>0.0024282895735316438</x:v>
      </x:c>
      <x:c r="G36" s="270" t="n">
        <x:f>G35/G28</x:f>
        <x:v>0.0253</x:v>
      </x:c>
      <x:c r="H36" s="270" t="n">
        <x:f>H35/H28</x:f>
        <x:v>0.027</x:v>
      </x:c>
      <x:c r="I36" s="270" t="n">
        <x:f>I35/I28</x:f>
        <x:v>0.029000000000000005</x:v>
      </x:c>
      <x:c r="J36" s="4"/>
      <x:c r="K36" s="4"/>
      <x:c r="L36" s="4"/>
      <x:c r="M36" s="4"/>
    </x:row>
    <x:row r="37">
      <x:c r="A37" s="79"/>
      <x:c r="C37" t="str">
        <x:v>Diluted shares</x:v>
      </x:c>
      <x:c r="D37" s="12" t="n">
        <x:f>'Target Financials'!D24</x:f>
        <x:v>119.49</x:v>
      </x:c>
      <x:c r="E37" s="12" t="n">
        <x:f>'Target Financials'!E24</x:f>
        <x:v>119.798</x:v>
      </x:c>
      <x:c r="F37" s="12" t="n">
        <x:f>'Target Financials'!F24</x:f>
        <x:v>116.303</x:v>
      </x:c>
      <x:c r="G37" s="269" t="n">
        <x:f>F37*(1+G93)</x:f>
        <x:v>116.303</x:v>
      </x:c>
      <x:c r="H37" s="269" t="n">
        <x:f>G37*(1+H93)</x:f>
        <x:v>116.303</x:v>
      </x:c>
      <x:c r="I37" s="269" t="n">
        <x:f>H37*(1+I93)</x:f>
        <x:v>116.303</x:v>
      </x:c>
      <x:c r="J37" s="4"/>
      <x:c r="K37" s="4"/>
      <x:c r="L37" s="4"/>
      <x:c r="M37" s="4"/>
    </x:row>
    <x:row r="38">
      <x:c r="A38" s="79"/>
      <x:c r="C38" s="104" t="str">
        <x:v>EPS (reported actual / adjusted forecast)</x:v>
      </x:c>
      <x:c r="D38" s="248" t="n">
        <x:f>'Target Financials'!D25</x:f>
        <x:v>1.92</x:v>
      </x:c>
      <x:c r="E38" s="248" t="n">
        <x:f>'Target Financials'!E25</x:f>
        <x:v>1.12</x:v>
      </x:c>
      <x:c r="F38" s="248" t="n">
        <x:f>'Target Financials'!F25</x:f>
        <x:v>0.28</x:v>
      </x:c>
      <x:c r="G38" s="275" t="n">
        <x:f>G35/G37</x:f>
        <x:v>2.995679844887922</x:v>
      </x:c>
      <x:c r="H38" s="275" t="n">
        <x:f>H35/H37</x:f>
        <x:v>3.356819114726189</x:v>
      </x:c>
      <x:c r="I38" s="275" t="n">
        <x:f>I35/I37</x:f>
        <x:v>3.7857460016078694</x:v>
      </x:c>
      <x:c r="J38" s="4"/>
      <x:c r="K38" s="4"/>
      <x:c r="L38" s="4"/>
      <x:c r="M38" s="4"/>
    </x:row>
    <x:row r="39">
      <x:c r="A39" s="79"/>
      <x:c r="C39"/>
      <x:c r="D39"/>
      <x:c r="E39"/>
      <x:c r="F39"/>
      <x:c r="G39"/>
      <x:c r="H39"/>
      <x:c r="I39"/>
      <x:c r="J39" s="4"/>
      <x:c r="K39" s="4"/>
      <x:c r="L39" s="4"/>
      <x:c r="M39" s="4"/>
    </x:row>
    <x:row r="40">
      <x:c r="A40" s="79"/>
      <x:c r="C40"/>
      <x:c r="D40"/>
      <x:c r="E40"/>
      <x:c r="F40"/>
      <x:c r="G40"/>
      <x:c r="H40"/>
      <x:c r="I40"/>
      <x:c r="J40" s="4"/>
      <x:c r="K40" s="4"/>
      <x:c r="L40" s="4"/>
      <x:c r="M40" s="4"/>
    </x:row>
    <x:row r="41">
      <x:c r="A41" s="79"/>
      <x:c r="C41"/>
      <x:c r="D41"/>
      <x:c r="E41"/>
      <x:c r="F41"/>
      <x:c r="G41"/>
      <x:c r="H41"/>
      <x:c r="I41"/>
      <x:c r="J41" s="4"/>
      <x:c r="K41" s="4"/>
      <x:c r="L41" s="4"/>
      <x:c r="M41" s="4"/>
    </x:row>
    <x:row r="42">
      <x:c r="A42" s="79"/>
      <x:c r="C42" s="261" t="str">
        <x:v>UPS forecast assumptions</x:v>
      </x:c>
      <x:c r="D42" s="262"/>
      <x:c r="E42" s="262"/>
      <x:c r="F42" s="262"/>
      <x:c r="G42" s="262"/>
      <x:c r="H42" s="262"/>
      <x:c r="I42" s="263"/>
      <x:c r="J42" s="4"/>
      <x:c r="K42" s="4"/>
      <x:c r="L42" s="4"/>
      <x:c r="M42" s="4"/>
    </x:row>
    <x:row r="43">
      <x:c r="A43" s="79"/>
      <x:c r="C43"/>
      <x:c r="D43"/>
      <x:c r="E43"/>
      <x:c r="F43"/>
      <x:c r="G43"/>
      <x:c r="H43"/>
      <x:c r="I43"/>
      <x:c r="J43" s="4"/>
      <x:c r="K43" s="4"/>
      <x:c r="L43" s="4"/>
      <x:c r="M43" s="4"/>
    </x:row>
    <x:row r="44">
      <x:c r="A44" s="79"/>
      <x:c r="C44" s="266" t="str">
        <x:v>Driver</x:v>
      </x:c>
      <x:c r="D44" s="266" t="str">
        <x:v>Case</x:v>
      </x:c>
      <x:c r="E44" s="266" t="str"/>
      <x:c r="F44" s="266" t="str"/>
      <x:c r="G44" s="266" t="str">
        <x:v>FY:26E</x:v>
      </x:c>
      <x:c r="H44" s="266" t="str">
        <x:v>FY:27E</x:v>
      </x:c>
      <x:c r="I44" s="266" t="str">
        <x:v>FY:28E</x:v>
      </x:c>
      <x:c r="J44" s="4"/>
      <x:c r="K44" s="4"/>
      <x:c r="L44" s="4"/>
      <x:c r="M44" s="4"/>
    </x:row>
    <x:row r="45">
      <x:c r="A45" s="79"/>
      <x:c r="C45" t="str">
        <x:v>Revenue growth</x:v>
      </x:c>
      <x:c r="D45" s="252" t="str">
        <x:v>Downside</x:v>
      </x:c>
      <x:c r="E45" t="str"/>
      <x:c r="F45" t="str"/>
      <x:c r="G45" s="278" t="n">
        <x:v>-0.01</x:v>
      </x:c>
      <x:c r="H45" s="278" t="n">
        <x:v>0.005</x:v>
      </x:c>
      <x:c r="I45" s="278" t="n">
        <x:v>0.015</x:v>
      </x:c>
      <x:c r="J45" s="4"/>
      <x:c r="K45" s="4"/>
      <x:c r="L45" s="4"/>
      <x:c r="M45" s="4"/>
    </x:row>
    <x:row r="46">
      <x:c r="A46" s="79"/>
      <x:c r="C46" t="str">
        <x:v>Revenue growth</x:v>
      </x:c>
      <x:c r="D46" s="252" t="str">
        <x:v>Base</x:v>
      </x:c>
      <x:c r="E46" t="str"/>
      <x:c r="F46" t="str"/>
      <x:c r="G46" s="278" t="n">
        <x:v>0.012</x:v>
      </x:c>
      <x:c r="H46" s="278" t="n">
        <x:v>0.025</x:v>
      </x:c>
      <x:c r="I46" s="278" t="n">
        <x:v>0.03</x:v>
      </x:c>
      <x:c r="J46" s="4"/>
      <x:c r="K46" s="4"/>
      <x:c r="L46" s="4"/>
      <x:c r="M46" s="4"/>
    </x:row>
    <x:row r="47">
      <x:c r="A47" s="79"/>
      <x:c r="C47" t="str">
        <x:v>Revenue growth</x:v>
      </x:c>
      <x:c r="D47" s="252" t="str">
        <x:v>Upside</x:v>
      </x:c>
      <x:c r="E47" t="str"/>
      <x:c r="F47" t="str"/>
      <x:c r="G47" s="278" t="n">
        <x:v>0.025</x:v>
      </x:c>
      <x:c r="H47" s="278" t="n">
        <x:v>0.035</x:v>
      </x:c>
      <x:c r="I47" s="278" t="n">
        <x:v>0.04</x:v>
      </x:c>
      <x:c r="J47" s="4"/>
      <x:c r="K47" s="4"/>
      <x:c r="L47" s="4"/>
      <x:c r="M47" s="4"/>
    </x:row>
    <x:row r="48">
      <x:c r="A48" s="79"/>
      <x:c r="C48" t="str">
        <x:v>Adjusted EBIT margin</x:v>
      </x:c>
      <x:c r="D48" s="252" t="str">
        <x:v>Downside</x:v>
      </x:c>
      <x:c r="E48" t="str"/>
      <x:c r="F48" t="str"/>
      <x:c r="G48" s="278" t="n">
        <x:v>0.088</x:v>
      </x:c>
      <x:c r="H48" s="278" t="n">
        <x:v>0.09</x:v>
      </x:c>
      <x:c r="I48" s="278" t="n">
        <x:v>0.092</x:v>
      </x:c>
      <x:c r="J48" s="4"/>
      <x:c r="K48" s="4"/>
      <x:c r="L48" s="4"/>
      <x:c r="M48" s="4"/>
    </x:row>
    <x:row r="49">
      <x:c r="A49" s="79"/>
      <x:c r="C49" t="str">
        <x:v>Adjusted EBIT margin</x:v>
      </x:c>
      <x:c r="D49" s="252" t="str">
        <x:v>Base</x:v>
      </x:c>
      <x:c r="E49" t="str"/>
      <x:c r="F49" t="str"/>
      <x:c r="G49" s="278" t="n">
        <x:v>0.096</x:v>
      </x:c>
      <x:c r="H49" s="278" t="n">
        <x:v>0.099</x:v>
      </x:c>
      <x:c r="I49" s="278" t="n">
        <x:v>0.102</x:v>
      </x:c>
      <x:c r="J49" s="4"/>
      <x:c r="K49" s="4"/>
      <x:c r="L49" s="4"/>
      <x:c r="M49" s="4"/>
    </x:row>
    <x:row r="50">
      <x:c r="A50" s="79"/>
      <x:c r="C50" t="str">
        <x:v>Adjusted EBIT margin</x:v>
      </x:c>
      <x:c r="D50" s="252" t="str">
        <x:v>Upside</x:v>
      </x:c>
      <x:c r="E50" t="str"/>
      <x:c r="F50" t="str"/>
      <x:c r="G50" s="278" t="n">
        <x:v>0.1</x:v>
      </x:c>
      <x:c r="H50" s="278" t="n">
        <x:v>0.104</x:v>
      </x:c>
      <x:c r="I50" s="278" t="n">
        <x:v>0.107</x:v>
      </x:c>
      <x:c r="J50" s="4"/>
      <x:c r="K50" s="4"/>
      <x:c r="L50" s="4"/>
      <x:c r="M50" s="4"/>
    </x:row>
    <x:row r="51">
      <x:c r="A51" s="79"/>
      <x:c r="C51" t="str">
        <x:v>D&amp;A as % of revenue</x:v>
      </x:c>
      <x:c r="D51" s="252" t="str">
        <x:v>Downside</x:v>
      </x:c>
      <x:c r="E51" t="str"/>
      <x:c r="F51" t="str"/>
      <x:c r="G51" s="278" t="n">
        <x:v>0.043</x:v>
      </x:c>
      <x:c r="H51" s="278" t="n">
        <x:v>0.043</x:v>
      </x:c>
      <x:c r="I51" s="278" t="n">
        <x:v>0.042</x:v>
      </x:c>
      <x:c r="J51" s="4"/>
      <x:c r="K51" s="4"/>
      <x:c r="L51" s="4"/>
      <x:c r="M51" s="4"/>
    </x:row>
    <x:row r="52">
      <x:c r="A52" s="79"/>
      <x:c r="C52" t="str">
        <x:v>D&amp;A as % of revenue</x:v>
      </x:c>
      <x:c r="D52" s="252" t="str">
        <x:v>Base</x:v>
      </x:c>
      <x:c r="E52" t="str"/>
      <x:c r="F52" t="str"/>
      <x:c r="G52" s="278" t="n">
        <x:v>0.042</x:v>
      </x:c>
      <x:c r="H52" s="278" t="n">
        <x:v>0.041</x:v>
      </x:c>
      <x:c r="I52" s="278" t="n">
        <x:v>0.04</x:v>
      </x:c>
      <x:c r="J52" s="4"/>
      <x:c r="K52" s="4"/>
      <x:c r="L52" s="4"/>
      <x:c r="M52" s="4"/>
    </x:row>
    <x:row r="53">
      <x:c r="A53" s="79"/>
      <x:c r="C53" t="str">
        <x:v>D&amp;A as % of revenue</x:v>
      </x:c>
      <x:c r="D53" s="252" t="str">
        <x:v>Upside</x:v>
      </x:c>
      <x:c r="E53" t="str"/>
      <x:c r="F53" t="str"/>
      <x:c r="G53" s="278" t="n">
        <x:v>0.041</x:v>
      </x:c>
      <x:c r="H53" s="278" t="n">
        <x:v>0.04</x:v>
      </x:c>
      <x:c r="I53" s="278" t="n">
        <x:v>0.039</x:v>
      </x:c>
      <x:c r="J53" s="4"/>
      <x:c r="K53" s="4"/>
      <x:c r="L53" s="4"/>
      <x:c r="M53" s="4"/>
    </x:row>
    <x:row r="54">
      <x:c r="A54" s="79"/>
      <x:c r="C54" t="str">
        <x:v>Adjusted net income margin</x:v>
      </x:c>
      <x:c r="D54" s="252" t="str">
        <x:v>Downside</x:v>
      </x:c>
      <x:c r="E54" t="str"/>
      <x:c r="F54" t="str"/>
      <x:c r="G54" s="278" t="n">
        <x:v>0.058</x:v>
      </x:c>
      <x:c r="H54" s="278" t="n">
        <x:v>0.059</x:v>
      </x:c>
      <x:c r="I54" s="278" t="n">
        <x:v>0.06</x:v>
      </x:c>
      <x:c r="J54" s="4"/>
      <x:c r="K54" s="4"/>
      <x:c r="L54" s="4"/>
      <x:c r="M54" s="4"/>
    </x:row>
    <x:row r="55">
      <x:c r="A55" s="79"/>
      <x:c r="C55" t="str">
        <x:v>Adjusted net income margin</x:v>
      </x:c>
      <x:c r="D55" s="252" t="str">
        <x:v>Base</x:v>
      </x:c>
      <x:c r="E55" t="str"/>
      <x:c r="F55" t="str"/>
      <x:c r="G55" s="278" t="n">
        <x:v>0.065</x:v>
      </x:c>
      <x:c r="H55" s="278" t="n">
        <x:v>0.067</x:v>
      </x:c>
      <x:c r="I55" s="278" t="n">
        <x:v>0.069</x:v>
      </x:c>
      <x:c r="J55" s="4"/>
      <x:c r="K55" s="4"/>
      <x:c r="L55" s="4"/>
      <x:c r="M55" s="4"/>
    </x:row>
    <x:row r="56">
      <x:c r="A56" s="79"/>
      <x:c r="C56" t="str">
        <x:v>Adjusted net income margin</x:v>
      </x:c>
      <x:c r="D56" s="252" t="str">
        <x:v>Upside</x:v>
      </x:c>
      <x:c r="E56" t="str"/>
      <x:c r="F56" t="str"/>
      <x:c r="G56" s="278" t="n">
        <x:v>0.068</x:v>
      </x:c>
      <x:c r="H56" s="278" t="n">
        <x:v>0.071</x:v>
      </x:c>
      <x:c r="I56" s="278" t="n">
        <x:v>0.073</x:v>
      </x:c>
      <x:c r="J56" s="4"/>
      <x:c r="K56" s="4"/>
      <x:c r="L56" s="4"/>
      <x:c r="M56" s="4"/>
    </x:row>
    <x:row r="57">
      <x:c r="A57" s="79"/>
      <x:c r="C57" t="str">
        <x:v>Selected revenue growth</x:v>
      </x:c>
      <x:c r="D57"/>
      <x:c r="E57"/>
      <x:c r="F57"/>
      <x:c r="G57" s="280" t="n">
        <x:f>INDEX(G$45:G$47,MATCH($D$6,$D$45:$D$47,0))</x:f>
        <x:v>0.012</x:v>
      </x:c>
      <x:c r="H57" s="280" t="n">
        <x:f>INDEX(H$45:H$47,MATCH($D$6,$D$45:$D$47,0))</x:f>
        <x:v>0.025</x:v>
      </x:c>
      <x:c r="I57" s="280" t="n">
        <x:f>INDEX(I$45:I$47,MATCH($D$6,$D$45:$D$47,0))</x:f>
        <x:v>0.03</x:v>
      </x:c>
      <x:c r="J57" s="4"/>
      <x:c r="K57" s="4"/>
      <x:c r="L57" s="4"/>
      <x:c r="M57" s="4"/>
    </x:row>
    <x:row r="58">
      <x:c r="A58" s="79"/>
      <x:c r="C58" t="str">
        <x:v>Selected adjusted EBIT margin</x:v>
      </x:c>
      <x:c r="D58"/>
      <x:c r="E58"/>
      <x:c r="F58"/>
      <x:c r="G58" s="280" t="n">
        <x:f>INDEX(G$48:G$50,MATCH($D$6,$D$48:$D$50,0))</x:f>
        <x:v>0.096</x:v>
      </x:c>
      <x:c r="H58" s="280" t="n">
        <x:f>INDEX(H$48:H$50,MATCH($D$6,$D$48:$D$50,0))</x:f>
        <x:v>0.099</x:v>
      </x:c>
      <x:c r="I58" s="280" t="n">
        <x:f>INDEX(I$48:I$50,MATCH($D$6,$D$48:$D$50,0))</x:f>
        <x:v>0.102</x:v>
      </x:c>
      <x:c r="J58" s="4"/>
      <x:c r="K58" s="4"/>
      <x:c r="L58" s="4"/>
      <x:c r="M58" s="4"/>
    </x:row>
    <x:row r="59">
      <x:c r="A59" s="79"/>
      <x:c r="C59" t="str">
        <x:v>Selected D&amp;A as % of revenue</x:v>
      </x:c>
      <x:c r="D59"/>
      <x:c r="E59"/>
      <x:c r="F59"/>
      <x:c r="G59" s="280" t="n">
        <x:f>INDEX(G$51:G$53,MATCH($D$6,$D$51:$D$53,0))</x:f>
        <x:v>0.042</x:v>
      </x:c>
      <x:c r="H59" s="280" t="n">
        <x:f>INDEX(H$51:H$53,MATCH($D$6,$D$51:$D$53,0))</x:f>
        <x:v>0.041</x:v>
      </x:c>
      <x:c r="I59" s="280" t="n">
        <x:f>INDEX(I$51:I$53,MATCH($D$6,$D$51:$D$53,0))</x:f>
        <x:v>0.04</x:v>
      </x:c>
      <x:c r="J59" s="4"/>
      <x:c r="K59" s="4"/>
      <x:c r="L59" s="4"/>
      <x:c r="M59" s="4"/>
    </x:row>
    <x:row r="60">
      <x:c r="A60" s="79"/>
      <x:c r="C60" t="str">
        <x:v>Selected adjusted net income margin</x:v>
      </x:c>
      <x:c r="D60"/>
      <x:c r="E60"/>
      <x:c r="F60"/>
      <x:c r="G60" s="280" t="n">
        <x:f>INDEX(G$54:G$56,MATCH($D$6,$D$54:$D$56,0))</x:f>
        <x:v>0.065</x:v>
      </x:c>
      <x:c r="H60" s="280" t="n">
        <x:f>INDEX(H$54:H$56,MATCH($D$6,$D$54:$D$56,0))</x:f>
        <x:v>0.067</x:v>
      </x:c>
      <x:c r="I60" s="280" t="n">
        <x:f>INDEX(I$54:I$56,MATCH($D$6,$D$54:$D$56,0))</x:f>
        <x:v>0.069</x:v>
      </x:c>
      <x:c r="J60" s="4"/>
      <x:c r="K60" s="4"/>
      <x:c r="L60" s="4"/>
      <x:c r="M60" s="4"/>
    </x:row>
    <x:row r="61">
      <x:c r="A61" s="79"/>
      <x:c r="C61" t="str">
        <x:v>Selected diluted share growth</x:v>
      </x:c>
      <x:c r="D61"/>
      <x:c r="E61"/>
      <x:c r="F61"/>
      <x:c r="G61" s="280" t="n">
        <x:f>INDEX(G$63:G$65,MATCH($D$6,$D$63:$D$65,0))</x:f>
        <x:v>-0.005</x:v>
      </x:c>
      <x:c r="H61" s="280" t="n">
        <x:f>INDEX(H$63:H$65,MATCH($D$6,$D$63:$D$65,0))</x:f>
        <x:v>-0.005</x:v>
      </x:c>
      <x:c r="I61" s="280" t="n">
        <x:f>INDEX(I$63:I$65,MATCH($D$6,$D$63:$D$65,0))</x:f>
        <x:v>-0.005</x:v>
      </x:c>
      <x:c r="J61" s="4"/>
      <x:c r="K61" s="4"/>
      <x:c r="L61" s="4"/>
      <x:c r="M61" s="4"/>
    </x:row>
    <x:row r="62">
      <x:c r="A62" s="79"/>
      <x:c r="C62"/>
      <x:c r="D62"/>
      <x:c r="E62"/>
      <x:c r="F62"/>
      <x:c r="G62" s="130"/>
      <x:c r="H62" s="130"/>
      <x:c r="I62" s="130"/>
      <x:c r="J62" s="4"/>
      <x:c r="K62" s="4"/>
      <x:c r="L62" s="4"/>
      <x:c r="M62" s="4"/>
    </x:row>
    <x:row r="63">
      <x:c r="A63" s="79"/>
      <x:c r="C63" t="str">
        <x:v>Diluted share growth</x:v>
      </x:c>
      <x:c r="D63" t="str">
        <x:v>Downside</x:v>
      </x:c>
      <x:c r="E63" t="str"/>
      <x:c r="F63" t="str"/>
      <x:c r="G63" s="278" t="n">
        <x:v>0</x:v>
      </x:c>
      <x:c r="H63" s="278" t="n">
        <x:v>0</x:v>
      </x:c>
      <x:c r="I63" s="278" t="n">
        <x:v>0</x:v>
      </x:c>
      <x:c r="J63" s="4"/>
      <x:c r="K63" s="4"/>
      <x:c r="L63" s="4"/>
      <x:c r="M63" s="4"/>
    </x:row>
    <x:row r="64">
      <x:c r="A64" s="79"/>
      <x:c r="C64" t="str">
        <x:v>Diluted share growth</x:v>
      </x:c>
      <x:c r="D64" t="str">
        <x:v>Base</x:v>
      </x:c>
      <x:c r="E64" t="str"/>
      <x:c r="F64" t="str"/>
      <x:c r="G64" s="278" t="n">
        <x:v>-0.005</x:v>
      </x:c>
      <x:c r="H64" s="278" t="n">
        <x:v>-0.005</x:v>
      </x:c>
      <x:c r="I64" s="278" t="n">
        <x:v>-0.005</x:v>
      </x:c>
      <x:c r="J64" s="4"/>
      <x:c r="K64" s="4"/>
      <x:c r="L64" s="4"/>
      <x:c r="M64" s="4"/>
    </x:row>
    <x:row r="65">
      <x:c r="A65" s="79"/>
      <x:c r="C65" t="str">
        <x:v>Diluted share growth</x:v>
      </x:c>
      <x:c r="D65" t="str">
        <x:v>Upside</x:v>
      </x:c>
      <x:c r="E65" t="str"/>
      <x:c r="F65" t="str"/>
      <x:c r="G65" s="278" t="n">
        <x:v>-0.01</x:v>
      </x:c>
      <x:c r="H65" s="278" t="n">
        <x:v>-0.01</x:v>
      </x:c>
      <x:c r="I65" s="278" t="n">
        <x:v>-0.01</x:v>
      </x:c>
      <x:c r="J65" s="4"/>
      <x:c r="K65" s="4"/>
      <x:c r="L65" s="4"/>
      <x:c r="M65" s="4"/>
    </x:row>
    <x:row r="66">
      <x:c r="A66" s="79"/>
      <x:c r="C66"/>
      <x:c r="D66"/>
      <x:c r="E66"/>
      <x:c r="F66"/>
      <x:c r="G66"/>
      <x:c r="H66"/>
      <x:c r="I66"/>
      <x:c r="J66" s="4"/>
      <x:c r="K66" s="4"/>
      <x:c r="L66" s="4"/>
      <x:c r="M66" s="4"/>
    </x:row>
    <x:row r="67">
      <x:c r="A67" s="79"/>
      <x:c r="C67"/>
      <x:c r="D67"/>
      <x:c r="E67"/>
      <x:c r="F67"/>
      <x:c r="G67"/>
      <x:c r="H67"/>
      <x:c r="I67"/>
      <x:c r="J67" s="4"/>
      <x:c r="K67" s="4"/>
      <x:c r="L67" s="4"/>
      <x:c r="M67" s="4"/>
    </x:row>
    <x:row r="68">
      <x:c r="A68" s="79"/>
      <x:c r="C68"/>
      <x:c r="D68"/>
      <x:c r="E68"/>
      <x:c r="F68"/>
      <x:c r="G68"/>
      <x:c r="H68"/>
      <x:c r="I68"/>
      <x:c r="J68" s="4"/>
      <x:c r="K68" s="4"/>
      <x:c r="L68" s="4"/>
      <x:c r="M68" s="4"/>
    </x:row>
    <x:row r="69">
      <x:c r="A69" s="79"/>
      <x:c r="C69" s="261" t="str">
        <x:v>GXO forecast assumptions</x:v>
      </x:c>
      <x:c r="D69" s="262"/>
      <x:c r="E69" s="262"/>
      <x:c r="F69" s="262"/>
      <x:c r="G69" s="262"/>
      <x:c r="H69" s="262"/>
      <x:c r="I69" s="263"/>
      <x:c r="J69" s="4"/>
      <x:c r="K69" s="4"/>
      <x:c r="L69" s="4"/>
      <x:c r="M69" s="4"/>
    </x:row>
    <x:row r="70">
      <x:c r="A70" s="79"/>
      <x:c r="C70"/>
      <x:c r="D70"/>
      <x:c r="E70"/>
      <x:c r="F70"/>
      <x:c r="G70"/>
      <x:c r="H70"/>
      <x:c r="I70"/>
      <x:c r="J70" s="4"/>
      <x:c r="K70" s="4"/>
      <x:c r="L70" s="4"/>
      <x:c r="M70" s="4"/>
    </x:row>
    <x:row r="71">
      <x:c r="A71" s="79"/>
      <x:c r="C71" s="266" t="str">
        <x:v>Driver</x:v>
      </x:c>
      <x:c r="D71" s="266" t="str">
        <x:v>Case</x:v>
      </x:c>
      <x:c r="E71" s="266" t="str"/>
      <x:c r="F71" s="266" t="str"/>
      <x:c r="G71" s="266" t="str">
        <x:v>FY:26E</x:v>
      </x:c>
      <x:c r="H71" s="266" t="str">
        <x:v>FY:27E</x:v>
      </x:c>
      <x:c r="I71" s="266" t="str">
        <x:v>FY:28E</x:v>
      </x:c>
      <x:c r="J71" s="4"/>
      <x:c r="K71" s="4"/>
      <x:c r="L71" s="4"/>
      <x:c r="M71" s="4"/>
    </x:row>
    <x:row r="72">
      <x:c r="A72" s="79"/>
      <x:c r="C72" t="str">
        <x:v>Revenue growth</x:v>
      </x:c>
      <x:c r="D72" s="252" t="str">
        <x:v>Downside</x:v>
      </x:c>
      <x:c r="E72" t="str"/>
      <x:c r="F72" t="str"/>
      <x:c r="G72" s="278" t="n">
        <x:v>0.02</x:v>
      </x:c>
      <x:c r="H72" s="278" t="n">
        <x:v>0.025</x:v>
      </x:c>
      <x:c r="I72" s="278" t="n">
        <x:v>0.03</x:v>
      </x:c>
      <x:c r="J72" s="4"/>
      <x:c r="K72" s="4"/>
      <x:c r="L72" s="4"/>
      <x:c r="M72" s="4"/>
    </x:row>
    <x:row r="73">
      <x:c r="A73" s="79"/>
      <x:c r="C73" t="str">
        <x:v>Revenue growth</x:v>
      </x:c>
      <x:c r="D73" s="252" t="str">
        <x:v>Base</x:v>
      </x:c>
      <x:c r="E73" t="str"/>
      <x:c r="F73" t="str"/>
      <x:c r="G73" s="278" t="n">
        <x:v>0.045</x:v>
      </x:c>
      <x:c r="H73" s="278" t="n">
        <x:v>0.05</x:v>
      </x:c>
      <x:c r="I73" s="278" t="n">
        <x:v>0.05</x:v>
      </x:c>
      <x:c r="J73" s="4"/>
      <x:c r="K73" s="4"/>
      <x:c r="L73" s="4"/>
      <x:c r="M73" s="4"/>
    </x:row>
    <x:row r="74">
      <x:c r="A74" s="79"/>
      <x:c r="C74" t="str">
        <x:v>Revenue growth</x:v>
      </x:c>
      <x:c r="D74" s="252" t="str">
        <x:v>Upside</x:v>
      </x:c>
      <x:c r="E74" t="str"/>
      <x:c r="F74" t="str"/>
      <x:c r="G74" s="278" t="n">
        <x:v>0.06</x:v>
      </x:c>
      <x:c r="H74" s="278" t="n">
        <x:v>0.065</x:v>
      </x:c>
      <x:c r="I74" s="278" t="n">
        <x:v>0.065</x:v>
      </x:c>
      <x:c r="J74" s="4"/>
      <x:c r="K74" s="4"/>
      <x:c r="L74" s="4"/>
      <x:c r="M74" s="4"/>
    </x:row>
    <x:row r="75">
      <x:c r="A75" s="79"/>
      <x:c r="C75" t="str">
        <x:v>Adjusted EBITDA margin</x:v>
      </x:c>
      <x:c r="D75" s="252" t="str">
        <x:v>Downside</x:v>
      </x:c>
      <x:c r="E75" t="str"/>
      <x:c r="F75" t="str"/>
      <x:c r="G75" s="278" t="n">
        <x:v>0.065</x:v>
      </x:c>
      <x:c r="H75" s="278" t="n">
        <x:v>0.066</x:v>
      </x:c>
      <x:c r="I75" s="278" t="n">
        <x:v>0.067</x:v>
      </x:c>
      <x:c r="J75" s="4"/>
      <x:c r="K75" s="4"/>
      <x:c r="L75" s="4"/>
      <x:c r="M75" s="4"/>
    </x:row>
    <x:row r="76">
      <x:c r="A76" s="79"/>
      <x:c r="C76" t="str">
        <x:v>Adjusted EBITDA margin</x:v>
      </x:c>
      <x:c r="D76" s="252" t="str">
        <x:v>Base</x:v>
      </x:c>
      <x:c r="E76" t="str"/>
      <x:c r="F76" t="str"/>
      <x:c r="G76" s="278" t="n">
        <x:v>0.069</x:v>
      </x:c>
      <x:c r="H76" s="278" t="n">
        <x:v>0.071</x:v>
      </x:c>
      <x:c r="I76" s="278" t="n">
        <x:v>0.073</x:v>
      </x:c>
      <x:c r="J76" s="4"/>
      <x:c r="K76" s="4"/>
      <x:c r="L76" s="4"/>
      <x:c r="M76" s="4"/>
    </x:row>
    <x:row r="77">
      <x:c r="A77" s="79"/>
      <x:c r="C77" t="str">
        <x:v>Adjusted EBITDA margin</x:v>
      </x:c>
      <x:c r="D77" s="252" t="str">
        <x:v>Upside</x:v>
      </x:c>
      <x:c r="E77" t="str"/>
      <x:c r="F77" t="str"/>
      <x:c r="G77" s="278" t="n">
        <x:v>0.072</x:v>
      </x:c>
      <x:c r="H77" s="278" t="n">
        <x:v>0.075</x:v>
      </x:c>
      <x:c r="I77" s="278" t="n">
        <x:v>0.078</x:v>
      </x:c>
      <x:c r="J77" s="4"/>
      <x:c r="K77" s="4"/>
      <x:c r="L77" s="4"/>
      <x:c r="M77" s="4"/>
    </x:row>
    <x:row r="78">
      <x:c r="A78" s="79"/>
      <x:c r="C78" t="str">
        <x:v>D&amp;A as % of revenue</x:v>
      </x:c>
      <x:c r="D78" s="252" t="str">
        <x:v>Downside</x:v>
      </x:c>
      <x:c r="E78" t="str"/>
      <x:c r="F78" t="str"/>
      <x:c r="G78" s="278" t="n">
        <x:v>0.037</x:v>
      </x:c>
      <x:c r="H78" s="278" t="n">
        <x:v>0.037</x:v>
      </x:c>
      <x:c r="I78" s="278" t="n">
        <x:v>0.036</x:v>
      </x:c>
      <x:c r="J78" s="4"/>
      <x:c r="K78" s="4"/>
      <x:c r="L78" s="4"/>
      <x:c r="M78" s="4"/>
    </x:row>
    <x:row r="79">
      <x:c r="A79" s="79"/>
      <x:c r="C79" t="str">
        <x:v>D&amp;A as % of revenue</x:v>
      </x:c>
      <x:c r="D79" s="252" t="str">
        <x:v>Base</x:v>
      </x:c>
      <x:c r="E79" t="str"/>
      <x:c r="F79" t="str"/>
      <x:c r="G79" s="278" t="n">
        <x:v>0.035</x:v>
      </x:c>
      <x:c r="H79" s="278" t="n">
        <x:v>0.034</x:v>
      </x:c>
      <x:c r="I79" s="278" t="n">
        <x:v>0.033</x:v>
      </x:c>
      <x:c r="J79" s="4"/>
      <x:c r="K79" s="4"/>
      <x:c r="L79" s="4"/>
      <x:c r="M79" s="4"/>
    </x:row>
    <x:row r="80">
      <x:c r="A80" s="79"/>
      <x:c r="C80" t="str">
        <x:v>D&amp;A as % of revenue</x:v>
      </x:c>
      <x:c r="D80" s="252" t="str">
        <x:v>Upside</x:v>
      </x:c>
      <x:c r="E80" t="str"/>
      <x:c r="F80" t="str"/>
      <x:c r="G80" s="278" t="n">
        <x:v>0.034</x:v>
      </x:c>
      <x:c r="H80" s="278" t="n">
        <x:v>0.033</x:v>
      </x:c>
      <x:c r="I80" s="278" t="n">
        <x:v>0.032</x:v>
      </x:c>
      <x:c r="J80" s="4"/>
      <x:c r="K80" s="4"/>
      <x:c r="L80" s="4"/>
      <x:c r="M80" s="4"/>
    </x:row>
    <x:row r="81">
      <x:c r="A81" s="79"/>
      <x:c r="C81" t="str">
        <x:v>Adjusted net income margin</x:v>
      </x:c>
      <x:c r="D81" s="252" t="str">
        <x:v>Downside</x:v>
      </x:c>
      <x:c r="E81" t="str"/>
      <x:c r="F81" t="str"/>
      <x:c r="G81" s="278" t="n">
        <x:v>0.02</x:v>
      </x:c>
      <x:c r="H81" s="278" t="n">
        <x:v>0.021</x:v>
      </x:c>
      <x:c r="I81" s="278" t="n">
        <x:v>0.022</x:v>
      </x:c>
      <x:c r="J81" s="4"/>
      <x:c r="K81" s="4"/>
      <x:c r="L81" s="4"/>
      <x:c r="M81" s="4"/>
    </x:row>
    <x:row r="82">
      <x:c r="A82" s="79"/>
      <x:c r="C82" t="str">
        <x:v>Adjusted net income margin</x:v>
      </x:c>
      <x:c r="D82" s="252" t="str">
        <x:v>Base</x:v>
      </x:c>
      <x:c r="E82" t="str"/>
      <x:c r="F82" t="str"/>
      <x:c r="G82" s="278" t="n">
        <x:v>0.0253</x:v>
      </x:c>
      <x:c r="H82" s="278" t="n">
        <x:v>0.027</x:v>
      </x:c>
      <x:c r="I82" s="278" t="n">
        <x:v>0.029</x:v>
      </x:c>
      <x:c r="J82" s="4"/>
      <x:c r="K82" s="4"/>
      <x:c r="L82" s="4"/>
      <x:c r="M82" s="4"/>
    </x:row>
    <x:row r="83">
      <x:c r="A83" s="79"/>
      <x:c r="C83" t="str">
        <x:v>Adjusted net income margin</x:v>
      </x:c>
      <x:c r="D83" s="252" t="str">
        <x:v>Upside</x:v>
      </x:c>
      <x:c r="E83" t="str"/>
      <x:c r="F83" t="str"/>
      <x:c r="G83" s="278" t="n">
        <x:v>0.028</x:v>
      </x:c>
      <x:c r="H83" s="278" t="n">
        <x:v>0.031</x:v>
      </x:c>
      <x:c r="I83" s="278" t="n">
        <x:v>0.033</x:v>
      </x:c>
      <x:c r="J83" s="4"/>
      <x:c r="K83" s="4"/>
      <x:c r="L83" s="4"/>
      <x:c r="M83" s="4"/>
    </x:row>
    <x:row r="84">
      <x:c r="A84" s="79"/>
      <x:c r="C84" t="str">
        <x:v>Diluted share growth</x:v>
      </x:c>
      <x:c r="D84" s="252" t="str">
        <x:v>Downside</x:v>
      </x:c>
      <x:c r="E84" t="str"/>
      <x:c r="F84" t="str"/>
      <x:c r="G84" s="278" t="n">
        <x:v>0.005</x:v>
      </x:c>
      <x:c r="H84" s="278" t="n">
        <x:v>0.005</x:v>
      </x:c>
      <x:c r="I84" s="278" t="n">
        <x:v>0.005</x:v>
      </x:c>
      <x:c r="J84" s="4"/>
      <x:c r="K84" s="4"/>
      <x:c r="L84" s="4"/>
      <x:c r="M84" s="4"/>
    </x:row>
    <x:row r="85">
      <x:c r="A85" s="79"/>
      <x:c r="C85" t="str">
        <x:v>Diluted share growth</x:v>
      </x:c>
      <x:c r="D85" s="252" t="str">
        <x:v>Base</x:v>
      </x:c>
      <x:c r="E85" t="str"/>
      <x:c r="F85" t="str"/>
      <x:c r="G85" s="278" t="n">
        <x:v>0</x:v>
      </x:c>
      <x:c r="H85" s="278" t="n">
        <x:v>0</x:v>
      </x:c>
      <x:c r="I85" s="278" t="n">
        <x:v>0</x:v>
      </x:c>
      <x:c r="J85" s="4"/>
      <x:c r="K85" s="4"/>
      <x:c r="L85" s="4"/>
      <x:c r="M85" s="4"/>
    </x:row>
    <x:row r="86">
      <x:c r="A86" s="79"/>
      <x:c r="C86" t="str">
        <x:v>Diluted share growth</x:v>
      </x:c>
      <x:c r="D86" s="252" t="str">
        <x:v>Upside</x:v>
      </x:c>
      <x:c r="E86" t="str"/>
      <x:c r="F86" t="str"/>
      <x:c r="G86" s="278" t="n">
        <x:v>-0.005</x:v>
      </x:c>
      <x:c r="H86" s="278" t="n">
        <x:v>-0.005</x:v>
      </x:c>
      <x:c r="I86" s="278" t="n">
        <x:v>-0.005</x:v>
      </x:c>
      <x:c r="J86" s="4"/>
      <x:c r="K86" s="4"/>
      <x:c r="L86" s="4"/>
      <x:c r="M86" s="4"/>
    </x:row>
    <x:row r="87">
      <x:c r="A87" s="79"/>
      <x:c r="C87"/>
      <x:c r="D87"/>
      <x:c r="E87"/>
      <x:c r="F87"/>
      <x:c r="G87" s="130"/>
      <x:c r="H87" s="130"/>
      <x:c r="I87" s="130"/>
      <x:c r="J87" s="4"/>
      <x:c r="K87" s="4"/>
      <x:c r="L87" s="4"/>
      <x:c r="M87" s="4"/>
    </x:row>
    <x:row r="88">
      <x:c r="A88" s="79"/>
      <x:c r="C88"/>
      <x:c r="D88"/>
      <x:c r="E88"/>
      <x:c r="F88"/>
      <x:c r="G88" s="130"/>
      <x:c r="H88" s="130"/>
      <x:c r="I88" s="130"/>
      <x:c r="J88" s="4"/>
      <x:c r="K88" s="4"/>
      <x:c r="L88" s="4"/>
      <x:c r="M88" s="4"/>
    </x:row>
    <x:row r="89">
      <x:c r="A89" s="79"/>
      <x:c r="C89" t="str">
        <x:v>Selected revenue growth</x:v>
      </x:c>
      <x:c r="D89"/>
      <x:c r="E89"/>
      <x:c r="F89"/>
      <x:c r="G89" s="280" t="n">
        <x:f>INDEX(G$72:G$74,MATCH($D$6,$D$72:$D$74,0))</x:f>
        <x:v>0.045</x:v>
      </x:c>
      <x:c r="H89" s="280" t="n">
        <x:f>INDEX(H$72:H$74,MATCH($D$6,$D$72:$D$74,0))</x:f>
        <x:v>0.05</x:v>
      </x:c>
      <x:c r="I89" s="280" t="n">
        <x:f>INDEX(I$72:I$74,MATCH($D$6,$D$72:$D$74,0))</x:f>
        <x:v>0.05</x:v>
      </x:c>
      <x:c r="J89" s="4"/>
      <x:c r="K89" s="4"/>
      <x:c r="L89" s="4"/>
      <x:c r="M89" s="4"/>
    </x:row>
    <x:row r="90">
      <x:c r="A90" s="79"/>
      <x:c r="C90" t="str">
        <x:v>Selected adjusted EBITDA margin</x:v>
      </x:c>
      <x:c r="D90"/>
      <x:c r="E90"/>
      <x:c r="F90"/>
      <x:c r="G90" s="280" t="n">
        <x:f>INDEX(G$75:G$77,MATCH($D$6,$D$75:$D$77,0))</x:f>
        <x:v>0.069</x:v>
      </x:c>
      <x:c r="H90" s="280" t="n">
        <x:f>INDEX(H$75:H$77,MATCH($D$6,$D$75:$D$77,0))</x:f>
        <x:v>0.071</x:v>
      </x:c>
      <x:c r="I90" s="280" t="n">
        <x:f>INDEX(I$75:I$77,MATCH($D$6,$D$75:$D$77,0))</x:f>
        <x:v>0.073</x:v>
      </x:c>
      <x:c r="J90" s="4"/>
      <x:c r="K90" s="4"/>
      <x:c r="L90" s="4"/>
      <x:c r="M90" s="4"/>
    </x:row>
    <x:row r="91">
      <x:c r="A91" s="79"/>
      <x:c r="C91" t="str">
        <x:v>Selected D&amp;A as % of revenue</x:v>
      </x:c>
      <x:c r="D91"/>
      <x:c r="E91"/>
      <x:c r="F91"/>
      <x:c r="G91" s="280" t="n">
        <x:f>INDEX(G$78:G$80,MATCH($D$6,$D$78:$D$80,0))</x:f>
        <x:v>0.035</x:v>
      </x:c>
      <x:c r="H91" s="280" t="n">
        <x:f>INDEX(H$78:H$80,MATCH($D$6,$D$78:$D$80,0))</x:f>
        <x:v>0.034</x:v>
      </x:c>
      <x:c r="I91" s="280" t="n">
        <x:f>INDEX(I$78:I$80,MATCH($D$6,$D$78:$D$80,0))</x:f>
        <x:v>0.033</x:v>
      </x:c>
      <x:c r="J91" s="4"/>
      <x:c r="K91" s="4"/>
      <x:c r="L91" s="4"/>
      <x:c r="M91" s="4"/>
    </x:row>
    <x:row r="92">
      <x:c r="A92" s="79"/>
      <x:c r="C92" t="str">
        <x:v>Selected adjusted net income margin</x:v>
      </x:c>
      <x:c r="D92"/>
      <x:c r="E92"/>
      <x:c r="F92"/>
      <x:c r="G92" s="280" t="n">
        <x:f>INDEX(G$81:G$83,MATCH($D$6,$D$81:$D$83,0))</x:f>
        <x:v>0.0253</x:v>
      </x:c>
      <x:c r="H92" s="280" t="n">
        <x:f>INDEX(H$81:H$83,MATCH($D$6,$D$81:$D$83,0))</x:f>
        <x:v>0.027</x:v>
      </x:c>
      <x:c r="I92" s="280" t="n">
        <x:f>INDEX(I$81:I$83,MATCH($D$6,$D$81:$D$83,0))</x:f>
        <x:v>0.029</x:v>
      </x:c>
      <x:c r="J92" s="4"/>
      <x:c r="K92" s="4"/>
      <x:c r="L92" s="4"/>
      <x:c r="M92" s="4"/>
    </x:row>
    <x:row r="93">
      <x:c r="A93" s="79"/>
      <x:c r="C93" t="str">
        <x:v>Selected diluted share growth</x:v>
      </x:c>
      <x:c r="D93"/>
      <x:c r="E93"/>
      <x:c r="F93"/>
      <x:c r="G93" s="280" t="n">
        <x:f>INDEX(G$84:G$86,MATCH($D$6,$D$84:$D$86,0))</x:f>
        <x:v>0</x:v>
      </x:c>
      <x:c r="H93" s="280" t="n">
        <x:f>INDEX(H$84:H$86,MATCH($D$6,$D$84:$D$86,0))</x:f>
        <x:v>0</x:v>
      </x:c>
      <x:c r="I93" s="280" t="n">
        <x:f>INDEX(I$84:I$86,MATCH($D$6,$D$84:$D$86,0))</x:f>
        <x:v>0</x:v>
      </x:c>
      <x:c r="J93" s="4"/>
      <x:c r="K93" s="4"/>
      <x:c r="L93" s="4"/>
      <x:c r="M93" s="4"/>
    </x:row>
    <x:row r="94">
      <x:c r="A94" s="79"/>
      <x:c r="C94"/>
      <x:c r="D94"/>
      <x:c r="E94"/>
      <x:c r="F94"/>
      <x:c r="G94"/>
      <x:c r="H94"/>
      <x:c r="I94"/>
      <x:c r="J94" s="4"/>
      <x:c r="K94" s="4"/>
      <x:c r="L94" s="4"/>
      <x:c r="M94" s="4"/>
    </x:row>
    <x:row r="95">
      <x:c r="A95" s="79"/>
      <x:c r="C95"/>
      <x:c r="D95"/>
      <x:c r="E95"/>
      <x:c r="F95"/>
      <x:c r="G95"/>
      <x:c r="H95"/>
      <x:c r="I95"/>
      <x:c r="J95" s="4"/>
      <x:c r="K95" s="4"/>
      <x:c r="L95" s="4"/>
      <x:c r="M95" s="4"/>
    </x:row>
    <x:row r="96">
      <x:c r="A96" s="79"/>
      <x:c r="C96"/>
      <x:c r="D96"/>
      <x:c r="E96"/>
      <x:c r="F96"/>
      <x:c r="G96"/>
      <x:c r="H96"/>
      <x:c r="I96"/>
      <x:c r="J96" s="4"/>
      <x:c r="K96" s="4"/>
      <x:c r="L96" s="4"/>
      <x:c r="M96" s="4"/>
    </x:row>
    <x:row r="97">
      <x:c r="A97" s="79"/>
      <x:c r="C97"/>
      <x:c r="D97"/>
      <x:c r="E97"/>
      <x:c r="F97"/>
      <x:c r="G97"/>
      <x:c r="H97"/>
      <x:c r="I97"/>
      <x:c r="J97" s="4"/>
      <x:c r="K97" s="4"/>
      <x:c r="L97" s="4"/>
      <x:c r="M97" s="4"/>
    </x:row>
    <x:row r="98">
      <x:c r="A98" s="79"/>
      <x:c r="C98"/>
      <x:c r="D98"/>
      <x:c r="E98"/>
      <x:c r="F98"/>
      <x:c r="G98"/>
      <x:c r="H98"/>
      <x:c r="I98"/>
      <x:c r="J98" s="4"/>
      <x:c r="K98" s="4"/>
      <x:c r="L98" s="4"/>
      <x:c r="M98" s="4"/>
    </x:row>
    <x:row r="99">
      <x:c r="A99" s="79"/>
      <x:c r="C99"/>
      <x:c r="D99"/>
      <x:c r="E99"/>
      <x:c r="F99"/>
      <x:c r="G99"/>
      <x:c r="H99"/>
      <x:c r="I99"/>
      <x:c r="J99" s="4"/>
      <x:c r="K99" s="4"/>
      <x:c r="L99" s="4"/>
      <x:c r="M99" s="4"/>
    </x:row>
    <x:row r="100">
      <x:c r="A100" s="79"/>
      <x:c r="C100"/>
      <x:c r="D100"/>
      <x:c r="E100"/>
      <x:c r="F100"/>
      <x:c r="G100"/>
      <x:c r="H100"/>
      <x:c r="I100"/>
      <x:c r="J100" s="4"/>
      <x:c r="K100" s="4"/>
      <x:c r="L100" s="4"/>
      <x:c r="M100" s="4"/>
    </x:row>
  </x:sheetData>
  <x:dataValidations count="1">
    <x:dataValidation type="list" sqref="D6">
      <x:formula1>"Base,Downside,Upside"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Transaction valuation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Offer-price construction, enterprise-value bridge and trading multiple comparison | USD in millions except per-share data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302" t="str">
        <x:v>Offer price and equity value</x:v>
      </x:c>
      <x:c r="D6" s="303"/>
      <x:c r="E6" s="303"/>
      <x:c r="F6" s="304"/>
      <x:c r="G6"/>
      <x:c r="H6"/>
      <x:c r="I6"/>
      <x:c r="J6" s="4"/>
      <x:c r="K6" s="4"/>
      <x:c r="L6" s="4"/>
      <x:c r="M6" s="4"/>
    </x:row>
    <x:row r="7">
      <x:c r="A7" s="79"/>
      <x:c r="C7"/>
      <x:c r="D7"/>
      <x:c r="E7"/>
      <x:c r="F7"/>
      <x:c r="G7"/>
      <x:c r="H7"/>
      <x:c r="I7"/>
      <x:c r="J7" s="4"/>
      <x:c r="K7" s="4"/>
      <x:c r="L7" s="4"/>
      <x:c r="M7" s="4"/>
    </x:row>
    <x:row r="8">
      <x:c r="A8" s="79"/>
      <x:c r="C8" t="str">
        <x:v>Unaffected GXO share price</x:v>
      </x:c>
      <x:c r="D8" s="71" t="n">
        <x:f>'Transaction Assumptions'!D7</x:f>
        <x:v>53.05</x:v>
      </x:c>
      <x:c r="E8"/>
      <x:c r="F8"/>
      <x:c r="G8"/>
      <x:c r="H8"/>
      <x:c r="I8"/>
      <x:c r="J8" s="4"/>
      <x:c r="K8" s="4"/>
      <x:c r="L8" s="4"/>
      <x:c r="M8" s="4"/>
    </x:row>
    <x:row r="9">
      <x:c r="A9" s="79"/>
      <x:c r="C9" t="str">
        <x:v>Purchase premium</x:v>
      </x:c>
      <x:c r="D9" s="72" t="n">
        <x:f>'Transaction Assumptions'!D8</x:f>
        <x:v>0.3</x:v>
      </x:c>
      <x:c r="E9"/>
      <x:c r="F9"/>
      <x:c r="G9"/>
      <x:c r="H9"/>
      <x:c r="I9"/>
      <x:c r="J9" s="4"/>
      <x:c r="K9" s="4"/>
      <x:c r="L9" s="4"/>
      <x:c r="M9" s="4"/>
    </x:row>
    <x:row r="10">
      <x:c r="A10" s="79"/>
      <x:c r="C10" t="str">
        <x:v>Offer price per share</x:v>
      </x:c>
      <x:c r="D10" s="71" t="n">
        <x:f>D8*(1+D9)</x:f>
        <x:v>68.965</x:v>
      </x:c>
      <x:c r="E10"/>
      <x:c r="F10"/>
      <x:c r="G10"/>
      <x:c r="H10"/>
      <x:c r="I10"/>
      <x:c r="J10" s="4"/>
      <x:c r="K10" s="4"/>
      <x:c r="L10" s="4"/>
      <x:c r="M10" s="4"/>
    </x:row>
    <x:row r="11">
      <x:c r="A11" s="79"/>
      <x:c r="C11" t="str"/>
      <x:c r="D11" s="34"/>
      <x:c r="E11"/>
      <x:c r="F11"/>
      <x:c r="G11"/>
      <x:c r="H11"/>
      <x:c r="I11"/>
      <x:c r="J11" s="4"/>
      <x:c r="K11" s="4"/>
      <x:c r="L11" s="4"/>
      <x:c r="M11" s="4"/>
    </x:row>
    <x:row r="12">
      <x:c r="A12" s="79"/>
      <x:c r="C12" t="str">
        <x:v>Basic shares outstanding</x:v>
      </x:c>
      <x:c r="D12" s="12" t="n">
        <x:f>'Transaction Assumptions'!D10</x:f>
        <x:v>114.512</x:v>
      </x:c>
      <x:c r="E12"/>
      <x:c r="F12"/>
      <x:c r="G12"/>
      <x:c r="H12"/>
      <x:c r="I12"/>
      <x:c r="J12" s="4"/>
      <x:c r="K12" s="4"/>
      <x:c r="L12" s="4"/>
      <x:c r="M12" s="4"/>
    </x:row>
    <x:row r="13">
      <x:c r="A13" s="79"/>
      <x:c r="C13" t="str">
        <x:v>RSUs and PSUs</x:v>
      </x:c>
      <x:c r="D13" s="12" t="n">
        <x:f>SUM('Transaction Assumptions'!D11:D12)</x:f>
        <x:v>2.472</x:v>
      </x:c>
      <x:c r="E13"/>
      <x:c r="F13"/>
      <x:c r="G13"/>
      <x:c r="H13"/>
      <x:c r="I13"/>
      <x:c r="J13" s="4"/>
      <x:c r="K13" s="4"/>
      <x:c r="L13" s="4"/>
      <x:c r="M13" s="4"/>
    </x:row>
    <x:row r="14">
      <x:c r="A14" s="79"/>
      <x:c r="C14" t="str">
        <x:v>Incremental in-the-money options</x:v>
      </x:c>
      <x:c r="D14" s="12" t="n">
        <x:f>'Transaction Assumptions'!D15</x:f>
        <x:v>0.04134184006380059</x:v>
      </x:c>
      <x:c r="E14"/>
      <x:c r="F14"/>
      <x:c r="G14"/>
      <x:c r="H14"/>
      <x:c r="I14"/>
      <x:c r="J14" s="4"/>
      <x:c r="K14" s="4"/>
      <x:c r="L14" s="4"/>
      <x:c r="M14" s="4"/>
    </x:row>
    <x:row r="15">
      <x:c r="A15" s="79"/>
      <x:c r="C15" t="str">
        <x:v>Fully diluted transaction shares</x:v>
      </x:c>
      <x:c r="D15" s="12" t="n">
        <x:f>SUM(D12:D14)</x:f>
        <x:v>117.02534184006379</x:v>
      </x:c>
      <x:c r="E15"/>
      <x:c r="F15"/>
      <x:c r="G15"/>
      <x:c r="H15"/>
      <x:c r="I15"/>
      <x:c r="J15" s="4"/>
      <x:c r="K15" s="4"/>
      <x:c r="L15" s="4"/>
      <x:c r="M15" s="4"/>
    </x:row>
    <x:row r="16">
      <x:c r="A16" s="79"/>
      <x:c r="C16" s="287" t="str">
        <x:v>Equity purchase price</x:v>
      </x:c>
      <x:c r="D16" s="288" t="n">
        <x:f>D10*D15</x:f>
        <x:v>8070.6527</x:v>
      </x:c>
      <x:c r="E16"/>
      <x:c r="F16"/>
      <x:c r="G16"/>
      <x:c r="H16"/>
      <x:c r="I16"/>
      <x:c r="J16" s="4"/>
      <x:c r="K16" s="4"/>
      <x:c r="L16" s="4"/>
      <x:c r="M16" s="4"/>
    </x:row>
    <x:row r="17">
      <x:c r="A17" s="79"/>
      <x:c r="C17"/>
      <x:c r="D17"/>
      <x:c r="E17"/>
      <x:c r="F17"/>
      <x:c r="G17"/>
      <x:c r="H17"/>
      <x:c r="I17"/>
      <x:c r="J17" s="4"/>
      <x:c r="K17" s="4"/>
      <x:c r="L17" s="4"/>
      <x:c r="M17" s="4"/>
    </x:row>
    <x:row r="18">
      <x:c r="A18" s="79"/>
      <x:c r="C18"/>
      <x:c r="D18"/>
      <x:c r="E18"/>
      <x:c r="F18"/>
      <x:c r="G18"/>
      <x:c r="H18"/>
      <x:c r="I18"/>
      <x:c r="J18" s="4"/>
      <x:c r="K18" s="4"/>
      <x:c r="L18" s="4"/>
      <x:c r="M18" s="4"/>
    </x:row>
    <x:row r="19">
      <x:c r="A19" s="79"/>
      <x:c r="C19" s="302" t="str">
        <x:v>Enterprise value</x:v>
      </x:c>
      <x:c r="D19" s="303"/>
      <x:c r="E19" s="303"/>
      <x:c r="F19" s="304"/>
      <x:c r="G19"/>
      <x:c r="H19"/>
      <x:c r="I19"/>
      <x:c r="J19" s="4"/>
      <x:c r="K19" s="4"/>
      <x:c r="L19" s="4"/>
      <x:c r="M19" s="4"/>
    </x:row>
    <x:row r="20">
      <x:c r="A20" s="79"/>
      <x:c r="C20"/>
      <x:c r="D20"/>
      <x:c r="E20"/>
      <x:c r="F20"/>
      <x:c r="G20"/>
      <x:c r="H20"/>
      <x:c r="I20"/>
      <x:c r="J20" s="4"/>
      <x:c r="K20" s="4"/>
      <x:c r="L20" s="4"/>
      <x:c r="M20" s="4"/>
    </x:row>
    <x:row r="21">
      <x:c r="A21" s="79"/>
      <x:c r="C21" t="str">
        <x:v>Equity purchase price</x:v>
      </x:c>
      <x:c r="D21" s="12" t="n">
        <x:f>D16</x:f>
        <x:v>8070.6527</x:v>
      </x:c>
      <x:c r="E21"/>
      <x:c r="F21"/>
      <x:c r="G21"/>
      <x:c r="H21"/>
      <x:c r="I21"/>
      <x:c r="J21" s="4"/>
      <x:c r="K21" s="4"/>
      <x:c r="L21" s="4"/>
      <x:c r="M21" s="4"/>
    </x:row>
    <x:row r="22">
      <x:c r="A22" s="79"/>
      <x:c r="C22" t="str">
        <x:v>Add: debt refinanced</x:v>
      </x:c>
      <x:c r="D22" s="12" t="n">
        <x:f>'Transaction Assumptions'!D18</x:f>
        <x:v>3065</x:v>
      </x:c>
      <x:c r="E22"/>
      <x:c r="F22"/>
      <x:c r="G22"/>
      <x:c r="H22"/>
      <x:c r="I22"/>
      <x:c r="J22" s="4"/>
      <x:c r="K22" s="4"/>
      <x:c r="L22" s="4"/>
      <x:c r="M22" s="4"/>
    </x:row>
    <x:row r="23">
      <x:c r="A23" s="79"/>
      <x:c r="C23" t="str">
        <x:v>Less: cash acquired</x:v>
      </x:c>
      <x:c r="D23" s="12" t="n">
        <x:f>-'Transaction Assumptions'!D17</x:f>
        <x:v>-854</x:v>
      </x:c>
      <x:c r="E23"/>
      <x:c r="F23"/>
      <x:c r="G23"/>
      <x:c r="H23"/>
      <x:c r="I23"/>
      <x:c r="J23" s="4"/>
      <x:c r="K23" s="4"/>
      <x:c r="L23" s="4"/>
      <x:c r="M23" s="4"/>
    </x:row>
    <x:row r="24">
      <x:c r="A24" s="79"/>
      <x:c r="C24" s="287" t="str">
        <x:v>Transaction enterprise value</x:v>
      </x:c>
      <x:c r="D24" s="288" t="n">
        <x:f>SUM(D21:D23)</x:f>
        <x:v>10281.652699999999</x:v>
      </x:c>
      <x:c r="E24"/>
      <x:c r="F24"/>
      <x:c r="G24"/>
      <x:c r="H24"/>
      <x:c r="I24"/>
      <x:c r="J24" s="4"/>
      <x:c r="K24" s="4"/>
      <x:c r="L24" s="4"/>
      <x:c r="M24" s="4"/>
    </x:row>
    <x:row r="25">
      <x:c r="A25" s="79"/>
      <x:c r="C25"/>
      <x:c r="D25"/>
      <x:c r="E25"/>
      <x:c r="F25"/>
      <x:c r="G25"/>
      <x:c r="H25"/>
      <x:c r="I25"/>
      <x:c r="J25" s="4"/>
      <x:c r="K25" s="4"/>
      <x:c r="L25" s="4"/>
      <x:c r="M25" s="4"/>
    </x:row>
    <x:row r="26">
      <x:c r="A26" s="79"/>
      <x:c r="C26"/>
      <x:c r="D26"/>
      <x:c r="E26"/>
      <x:c r="F26"/>
      <x:c r="G26"/>
      <x:c r="H26"/>
      <x:c r="I26"/>
      <x:c r="J26" s="4"/>
      <x:c r="K26" s="4"/>
      <x:c r="L26" s="4"/>
      <x:c r="M26" s="4"/>
    </x:row>
    <x:row r="27">
      <x:c r="A27" s="79"/>
      <x:c r="C27" s="302" t="str">
        <x:v>Unaffected trading valuation</x:v>
      </x:c>
      <x:c r="D27" s="303"/>
      <x:c r="E27" s="303"/>
      <x:c r="F27" s="303"/>
      <x:c r="G27" s="303"/>
      <x:c r="H27" s="303"/>
      <x:c r="I27" s="304"/>
      <x:c r="J27" s="4"/>
      <x:c r="K27" s="4"/>
      <x:c r="L27" s="4"/>
      <x:c r="M27" s="4"/>
    </x:row>
    <x:row r="28">
      <x:c r="A28" s="79"/>
      <x:c r="C28"/>
      <x:c r="D28"/>
      <x:c r="E28"/>
      <x:c r="F28"/>
      <x:c r="G28"/>
      <x:c r="H28"/>
      <x:c r="I28"/>
      <x:c r="J28" s="4"/>
      <x:c r="K28" s="4"/>
      <x:c r="L28" s="4"/>
      <x:c r="M28" s="4"/>
    </x:row>
    <x:row r="29">
      <x:c r="A29" s="79"/>
      <x:c r="C29" s="307" t="str">
        <x:v>Metric</x:v>
      </x:c>
      <x:c r="D29" s="307" t="str">
        <x:v>LTM FY2025</x:v>
      </x:c>
      <x:c r="E29" s="307" t="str">
        <x:v>FY2026E</x:v>
      </x:c>
      <x:c r="F29" s="307" t="str">
        <x:v>Source / status</x:v>
      </x:c>
      <x:c r="G29"/>
      <x:c r="H29"/>
      <x:c r="I29"/>
      <x:c r="J29" s="4"/>
      <x:c r="K29" s="4"/>
      <x:c r="L29" s="4"/>
      <x:c r="M29" s="4"/>
    </x:row>
    <x:row r="30">
      <x:c r="A30" s="79"/>
      <x:c r="C30" t="str">
        <x:v>Unaffected share price</x:v>
      </x:c>
      <x:c r="D30" s="71" t="n">
        <x:f>'Transaction Assumptions'!D7</x:f>
        <x:v>53.05</x:v>
      </x:c>
      <x:c r="E30" s="71"/>
      <x:c r="F30" t="str">
        <x:v>S03</x:v>
      </x:c>
      <x:c r="G30"/>
      <x:c r="H30"/>
      <x:c r="I30"/>
      <x:c r="J30" s="4"/>
      <x:c r="K30" s="4"/>
      <x:c r="L30" s="4"/>
      <x:c r="M30" s="4"/>
    </x:row>
    <x:row r="31">
      <x:c r="A31" s="79"/>
      <x:c r="C31" t="str">
        <x:v>Basic shares outstanding</x:v>
      </x:c>
      <x:c r="D31" s="12" t="n">
        <x:f>'Transaction Assumptions'!D10</x:f>
        <x:v>114.512</x:v>
      </x:c>
      <x:c r="E31" s="12"/>
      <x:c r="F31" t="str">
        <x:v>S04</x:v>
      </x:c>
      <x:c r="G31"/>
      <x:c r="H31"/>
      <x:c r="I31"/>
      <x:c r="J31" s="4"/>
      <x:c r="K31" s="4"/>
      <x:c r="L31" s="4"/>
      <x:c r="M31" s="4"/>
    </x:row>
    <x:row r="32">
      <x:c r="A32" s="79"/>
      <x:c r="C32" t="str">
        <x:v>Unaffected equity value</x:v>
      </x:c>
      <x:c r="D32" s="12" t="n">
        <x:f>D30*D31</x:f>
        <x:v>6074.861599999999</x:v>
      </x:c>
      <x:c r="E32" s="12"/>
      <x:c r="F32" t="str">
        <x:v>Calculated</x:v>
      </x:c>
      <x:c r="G32"/>
      <x:c r="H32"/>
      <x:c r="I32"/>
      <x:c r="J32" s="4"/>
      <x:c r="K32" s="4"/>
      <x:c r="L32" s="4"/>
      <x:c r="M32" s="4"/>
    </x:row>
    <x:row r="33">
      <x:c r="A33" s="79"/>
      <x:c r="C33" t="str">
        <x:v>Add: total debt</x:v>
      </x:c>
      <x:c r="D33" s="12" t="n">
        <x:f>'Transaction Assumptions'!D18</x:f>
        <x:v>3065</x:v>
      </x:c>
      <x:c r="E33" s="12"/>
      <x:c r="F33" t="str">
        <x:v>S01</x:v>
      </x:c>
      <x:c r="G33"/>
      <x:c r="H33"/>
      <x:c r="I33"/>
      <x:c r="J33" s="4"/>
      <x:c r="K33" s="4"/>
      <x:c r="L33" s="4"/>
      <x:c r="M33" s="4"/>
    </x:row>
    <x:row r="34">
      <x:c r="A34" s="79"/>
      <x:c r="C34" t="str">
        <x:v>Less: cash</x:v>
      </x:c>
      <x:c r="D34" s="12" t="n">
        <x:f>-'Transaction Assumptions'!D17</x:f>
        <x:v>-854</x:v>
      </x:c>
      <x:c r="E34" s="12"/>
      <x:c r="F34" t="str">
        <x:v>S01</x:v>
      </x:c>
      <x:c r="G34"/>
      <x:c r="H34"/>
      <x:c r="I34"/>
      <x:c r="J34" s="4"/>
      <x:c r="K34" s="4"/>
      <x:c r="L34" s="4"/>
      <x:c r="M34" s="4"/>
    </x:row>
    <x:row r="35">
      <x:c r="A35" s="79"/>
      <x:c r="C35" s="287" t="str">
        <x:v>Unaffected enterprise value</x:v>
      </x:c>
      <x:c r="D35" s="288" t="n">
        <x:f>SUM(D32:D34)</x:f>
        <x:v>8285.8616</x:v>
      </x:c>
      <x:c r="E35" s="288"/>
      <x:c r="F35" t="str">
        <x:v>Calculated</x:v>
      </x:c>
      <x:c r="G35"/>
      <x:c r="H35"/>
      <x:c r="I35"/>
      <x:c r="J35" s="4"/>
      <x:c r="K35" s="4"/>
      <x:c r="L35" s="4"/>
      <x:c r="M35" s="4"/>
    </x:row>
    <x:row r="36">
      <x:c r="A36" s="79"/>
      <x:c r="C36" t="str">
        <x:v>Revenue</x:v>
      </x:c>
      <x:c r="D36" s="12" t="n">
        <x:f>'Target Financials'!F9</x:f>
        <x:v>13178</x:v>
      </x:c>
      <x:c r="E36" s="12" t="n">
        <x:f>'Standalone Forecasts'!G28</x:f>
        <x:v>13771.009999999998</x:v>
      </x:c>
      <x:c r="F36" t="str">
        <x:v>S01 / forecast</x:v>
      </x:c>
      <x:c r="G36"/>
      <x:c r="H36"/>
      <x:c r="I36"/>
      <x:c r="J36" s="4"/>
      <x:c r="K36" s="4"/>
      <x:c r="L36" s="4"/>
      <x:c r="M36" s="4"/>
    </x:row>
    <x:row r="37">
      <x:c r="A37" s="79"/>
      <x:c r="C37" t="str">
        <x:v>Adjusted EBITDA</x:v>
      </x:c>
      <x:c r="D37" s="12" t="n">
        <x:f>'Target Financials'!F63</x:f>
        <x:v>882</x:v>
      </x:c>
      <x:c r="E37" s="12" t="n">
        <x:f>'Standalone Forecasts'!G30</x:f>
        <x:v>950.1996899999999</x:v>
      </x:c>
      <x:c r="F37" t="str">
        <x:v>S09 / forecast</x:v>
      </x:c>
      <x:c r="G37"/>
      <x:c r="H37"/>
      <x:c r="I37"/>
      <x:c r="J37" s="4"/>
      <x:c r="K37" s="4"/>
      <x:c r="L37" s="4"/>
      <x:c r="M37" s="4"/>
    </x:row>
    <x:row r="38">
      <x:c r="A38" s="79"/>
      <x:c r="C38" t="str">
        <x:v>Adjusted EPS</x:v>
      </x:c>
      <x:c r="D38" s="71" t="n">
        <x:v>2.51</x:v>
      </x:c>
      <x:c r="E38" s="71" t="n">
        <x:f>'Standalone Forecasts'!G38</x:f>
        <x:v>2.995679844887922</x:v>
      </x:c>
      <x:c r="F38" t="str">
        <x:v>S09 / forecast</x:v>
      </x:c>
      <x:c r="G38"/>
      <x:c r="H38"/>
      <x:c r="I38"/>
      <x:c r="J38" s="4"/>
      <x:c r="K38" s="4"/>
      <x:c r="L38" s="4"/>
      <x:c r="M38" s="4"/>
    </x:row>
    <x:row r="39">
      <x:c r="A39" s="79"/>
      <x:c r="C39"/>
      <x:c r="D39"/>
      <x:c r="E39"/>
      <x:c r="F39"/>
      <x:c r="G39"/>
      <x:c r="H39"/>
      <x:c r="I39"/>
      <x:c r="J39" s="4"/>
      <x:c r="K39" s="4"/>
      <x:c r="L39" s="4"/>
      <x:c r="M39" s="4"/>
    </x:row>
    <x:row r="40">
      <x:c r="A40" s="79"/>
      <x:c r="C40"/>
      <x:c r="D40"/>
      <x:c r="E40"/>
      <x:c r="F40"/>
      <x:c r="G40"/>
      <x:c r="H40"/>
      <x:c r="I40"/>
      <x:c r="J40" s="4"/>
      <x:c r="K40" s="4"/>
      <x:c r="L40" s="4"/>
      <x:c r="M40" s="4"/>
    </x:row>
    <x:row r="41">
      <x:c r="A41" s="79"/>
      <x:c r="C41" s="302" t="str">
        <x:v>Valuation multiples</x:v>
      </x:c>
      <x:c r="D41" s="303"/>
      <x:c r="E41" s="303"/>
      <x:c r="F41" s="303"/>
      <x:c r="G41" s="303"/>
      <x:c r="H41" s="303"/>
      <x:c r="I41" s="304"/>
      <x:c r="J41" s="4"/>
      <x:c r="K41" s="4"/>
      <x:c r="L41" s="4"/>
      <x:c r="M41" s="4"/>
    </x:row>
    <x:row r="42">
      <x:c r="A42" s="79"/>
      <x:c r="C42"/>
      <x:c r="D42"/>
      <x:c r="E42"/>
      <x:c r="F42"/>
      <x:c r="G42"/>
      <x:c r="H42"/>
      <x:c r="I42"/>
      <x:c r="J42" s="4"/>
      <x:c r="K42" s="4"/>
      <x:c r="L42" s="4"/>
      <x:c r="M42" s="4"/>
    </x:row>
    <x:row r="43">
      <x:c r="A43" s="79"/>
      <x:c r="C43" s="307" t="str">
        <x:v>Multiple</x:v>
      </x:c>
      <x:c r="D43" s="307" t="str">
        <x:v>Unaffected LTM</x:v>
      </x:c>
      <x:c r="E43" s="307" t="str">
        <x:v>Offer LTM</x:v>
      </x:c>
      <x:c r="F43" s="307" t="str">
        <x:v>Unaffected FY2026E</x:v>
      </x:c>
      <x:c r="G43" s="307" t="str">
        <x:v>Offer FY2026E</x:v>
      </x:c>
      <x:c r="H43" s="307" t="str">
        <x:v>Offer premium / uplift</x:v>
      </x:c>
      <x:c r="I43"/>
      <x:c r="J43" s="4"/>
      <x:c r="K43" s="4"/>
      <x:c r="L43" s="4"/>
      <x:c r="M43" s="4"/>
    </x:row>
    <x:row r="44">
      <x:c r="A44" s="79"/>
      <x:c r="C44" t="str">
        <x:v>EV / Revenue</x:v>
      </x:c>
      <x:c r="D44" s="308" t="n">
        <x:f>$D$35/$D$36</x:f>
        <x:v>0.6287647290939444</x:v>
      </x:c>
      <x:c r="E44" s="309" t="n">
        <x:f>$D$24/$D$36</x:f>
        <x:v>0.7802134390651084</x:v>
      </x:c>
      <x:c r="F44" s="294" t="n">
        <x:f>$D$35/$E$36</x:f>
        <x:v>0.6016887359750666</x:v>
      </x:c>
      <x:c r="G44" s="294" t="n">
        <x:f>$D$24/$E$36</x:f>
        <x:v>0.7466157311627832</x:v>
      </x:c>
      <x:c r="H44" s="130" t="n">
        <x:f>E44/D44-1</x:f>
        <x:v>0.24086705720501045</x:v>
      </x:c>
      <x:c r="I44"/>
      <x:c r="J44" s="4"/>
      <x:c r="K44" s="4"/>
      <x:c r="L44" s="4"/>
      <x:c r="M44" s="4"/>
    </x:row>
    <x:row r="45">
      <x:c r="A45" s="79"/>
      <x:c r="C45" t="str">
        <x:v>EV / Adjusted EBITDA</x:v>
      </x:c>
      <x:c r="D45" s="308" t="n">
        <x:f>$D$35/$D$37</x:f>
        <x:v>9.394400907029478</x:v>
      </x:c>
      <x:c r="E45" s="309" t="n">
        <x:f>$D$24/$D$37</x:f>
        <x:v>11.657202607709749</x:v>
      </x:c>
      <x:c r="F45" s="294" t="n">
        <x:f>$D$35/$E$37</x:f>
        <x:v>8.720126608334297</x:v>
      </x:c>
      <x:c r="G45" s="294" t="n">
        <x:f>$D$24/$E$37</x:f>
        <x:v>10.820517842938887</x:v>
      </x:c>
      <x:c r="H45" s="130" t="n">
        <x:f>E45/D45-1</x:f>
        <x:v>0.24086705720501045</x:v>
      </x:c>
      <x:c r="I45"/>
      <x:c r="J45" s="4"/>
      <x:c r="K45" s="4"/>
      <x:c r="L45" s="4"/>
      <x:c r="M45" s="4"/>
    </x:row>
    <x:row r="46">
      <x:c r="A46" s="79"/>
      <x:c r="C46" t="str">
        <x:v>EV / Adjusted EBIT</x:v>
      </x:c>
      <x:c r="D46" s="308" t="n">
        <x:f>$D$35/'Target Financials'!F61</x:f>
        <x:v>19.49614494117647</x:v>
      </x:c>
      <x:c r="E46" s="309" t="n">
        <x:f>$D$24/'Target Financials'!F61</x:f>
        <x:v>24.192123999999996</x:v>
      </x:c>
      <x:c r="F46" s="294" t="n">
        <x:f>$D$35/'Standalone Forecasts'!G33</x:f>
        <x:v>17.696727528678426</x:v>
      </x:c>
      <x:c r="G46" s="294" t="n">
        <x:f>$D$24/'Standalone Forecasts'!G33</x:f>
        <x:v>21.959286210670097</x:v>
      </x:c>
      <x:c r="H46" s="130" t="n">
        <x:f>E46/D46-1</x:f>
        <x:v>0.24086705720501023</x:v>
      </x:c>
      <x:c r="I46"/>
      <x:c r="J46" s="4"/>
      <x:c r="K46" s="4"/>
      <x:c r="L46" s="4"/>
      <x:c r="M46" s="4"/>
    </x:row>
    <x:row r="47">
      <x:c r="A47" s="79"/>
      <x:c r="C47" t="str">
        <x:v>Price / Adjusted EPS</x:v>
      </x:c>
      <x:c r="D47" s="308" t="n">
        <x:f>$D$30/$D$38</x:f>
        <x:v>21.13545816733068</x:v>
      </x:c>
      <x:c r="E47" s="309" t="n">
        <x:f>$D$10/$D$38</x:f>
        <x:v>27.476095617529886</x:v>
      </x:c>
      <x:c r="F47" s="294" t="n">
        <x:f>$D$30/$E$38</x:f>
        <x:v>17.708834971310083</x:v>
      </x:c>
      <x:c r="G47" s="294" t="n">
        <x:f>$D$10/$E$38</x:f>
        <x:v>23.02148546270311</x:v>
      </x:c>
      <x:c r="H47" s="130" t="n">
        <x:f>E47/D47-1</x:f>
        <x:v>0.30000000000000004</x:v>
      </x:c>
      <x:c r="I47"/>
      <x:c r="J47" s="4"/>
      <x:c r="K47" s="4"/>
      <x:c r="L47" s="4"/>
      <x:c r="M47" s="4"/>
    </x:row>
    <x:row r="48">
      <x:c r="A48" s="79"/>
      <x:c r="C48"/>
      <x:c r="D48"/>
      <x:c r="E48"/>
      <x:c r="F48"/>
      <x:c r="G48"/>
      <x:c r="H48"/>
      <x:c r="I48"/>
      <x:c r="J48" s="4"/>
      <x:c r="K48" s="4"/>
      <x:c r="L48" s="4"/>
      <x:c r="M48" s="4"/>
    </x:row>
    <x:row r="49">
      <x:c r="A49" s="79"/>
      <x:c r="C49"/>
      <x:c r="D49"/>
      <x:c r="E49"/>
      <x:c r="F49"/>
      <x:c r="G49"/>
      <x:c r="H49"/>
      <x:c r="I49"/>
      <x:c r="J49" s="4"/>
      <x:c r="K49" s="4"/>
      <x:c r="L49" s="4"/>
      <x:c r="M49" s="4"/>
    </x:row>
    <x:row r="50">
      <x:c r="A50" s="79"/>
      <x:c r="C50"/>
      <x:c r="D50"/>
      <x:c r="E50"/>
      <x:c r="F50"/>
      <x:c r="G50"/>
      <x:c r="H50"/>
      <x:c r="I50"/>
      <x:c r="J50" s="4"/>
      <x:c r="K50" s="4"/>
      <x:c r="L50" s="4"/>
      <x:c r="M50" s="4"/>
    </x:row>
    <x:row r="51">
      <x:c r="A51" s="79"/>
      <x:c r="C51" s="302" t="str">
        <x:v>Premium analysis</x:v>
      </x:c>
      <x:c r="D51" s="303"/>
      <x:c r="E51" s="303"/>
      <x:c r="F51" s="304"/>
      <x:c r="G51"/>
      <x:c r="H51"/>
      <x:c r="I51"/>
      <x:c r="J51" s="4"/>
      <x:c r="K51" s="4"/>
      <x:c r="L51" s="4"/>
      <x:c r="M51" s="4"/>
    </x:row>
    <x:row r="52">
      <x:c r="A52" s="79"/>
      <x:c r="C52"/>
      <x:c r="D52"/>
      <x:c r="E52"/>
      <x:c r="F52"/>
      <x:c r="G52"/>
      <x:c r="H52"/>
      <x:c r="I52"/>
      <x:c r="J52" s="4"/>
      <x:c r="K52" s="4"/>
      <x:c r="L52" s="4"/>
      <x:c r="M52" s="4"/>
    </x:row>
    <x:row r="53">
      <x:c r="A53" s="79"/>
      <x:c r="C53" t="str">
        <x:v>Headline purchase premium</x:v>
      </x:c>
      <x:c r="D53" s="130" t="n">
        <x:f>D10/D8-1</x:f>
        <x:v>0.30000000000000004</x:v>
      </x:c>
      <x:c r="E53"/>
      <x:c r="F53"/>
      <x:c r="G53"/>
      <x:c r="H53"/>
      <x:c r="I53"/>
      <x:c r="J53" s="4"/>
      <x:c r="K53" s="4"/>
      <x:c r="L53" s="4"/>
      <x:c r="M53" s="4"/>
    </x:row>
    <x:row r="54">
      <x:c r="A54" s="79"/>
      <x:c r="C54" t="str">
        <x:v>Premium per share</x:v>
      </x:c>
      <x:c r="D54" s="297" t="n">
        <x:f>D10-D8</x:f>
        <x:v>15.915000000000006</x:v>
      </x:c>
      <x:c r="E54"/>
      <x:c r="F54"/>
      <x:c r="G54"/>
      <x:c r="H54"/>
      <x:c r="I54"/>
      <x:c r="J54" s="4"/>
      <x:c r="K54" s="4"/>
      <x:c r="L54" s="4"/>
      <x:c r="M54" s="4"/>
    </x:row>
    <x:row r="55">
      <x:c r="A55" s="79"/>
      <x:c r="C55" t="str">
        <x:v>Basic unaffected equity value</x:v>
      </x:c>
      <x:c r="D55" s="131" t="n">
        <x:f>D32</x:f>
        <x:v>6074.861599999999</x:v>
      </x:c>
      <x:c r="E55"/>
      <x:c r="F55"/>
      <x:c r="G55"/>
      <x:c r="H55"/>
      <x:c r="I55"/>
      <x:c r="J55" s="4"/>
      <x:c r="K55" s="4"/>
      <x:c r="L55" s="4"/>
      <x:c r="M55" s="4"/>
    </x:row>
    <x:row r="56">
      <x:c r="A56" s="79"/>
      <x:c r="C56" t="str">
        <x:v>Fully diluted equity purchase price</x:v>
      </x:c>
      <x:c r="D56" s="131" t="n">
        <x:f>D16</x:f>
        <x:v>8070.6527</x:v>
      </x:c>
      <x:c r="E56"/>
      <x:c r="F56"/>
      <x:c r="G56"/>
      <x:c r="H56"/>
      <x:c r="I56"/>
      <x:c r="J56" s="4"/>
      <x:c r="K56" s="4"/>
      <x:c r="L56" s="4"/>
      <x:c r="M56" s="4"/>
    </x:row>
    <x:row r="57">
      <x:c r="A57" s="79"/>
      <x:c r="C57" t="str">
        <x:v>Incremental equity consideration</x:v>
      </x:c>
      <x:c r="D57" s="131" t="n">
        <x:f>D56-D55</x:f>
        <x:v>1995.7911000000004</x:v>
      </x:c>
      <x:c r="E57"/>
      <x:c r="F57"/>
      <x:c r="G57"/>
      <x:c r="H57"/>
      <x:c r="I57"/>
      <x:c r="J57" s="4"/>
      <x:c r="K57" s="4"/>
      <x:c r="L57" s="4"/>
      <x:c r="M57" s="4"/>
    </x:row>
    <x:row r="58">
      <x:c r="A58" s="79"/>
      <x:c r="C58" t="str">
        <x:v>Enterprise-value uplift</x:v>
      </x:c>
      <x:c r="D58" s="130" t="n">
        <x:f>D24/D35-1</x:f>
        <x:v>0.24086705720501045</x:v>
      </x:c>
      <x:c r="E58"/>
      <x:c r="F58"/>
      <x:c r="G58"/>
      <x:c r="H58"/>
      <x:c r="I58"/>
      <x:c r="J58" s="4"/>
      <x:c r="K58" s="4"/>
      <x:c r="L58" s="4"/>
      <x:c r="M58" s="4"/>
    </x:row>
    <x:row r="59">
      <x:c r="A59" s="79"/>
      <x:c r="C59"/>
      <x:c r="D59"/>
      <x:c r="E59"/>
      <x:c r="F59"/>
      <x:c r="G59"/>
      <x:c r="H59"/>
      <x:c r="I59"/>
      <x:c r="J59" s="4"/>
      <x:c r="K59" s="4"/>
      <x:c r="L59" s="4"/>
      <x:c r="M59" s="4"/>
    </x:row>
    <x:row r="60">
      <x:c r="A60" s="79"/>
      <x:c r="C60"/>
      <x:c r="D60"/>
      <x:c r="E60"/>
      <x:c r="F60"/>
      <x:c r="G60"/>
      <x:c r="H60"/>
      <x:c r="I60"/>
      <x:c r="J60" s="4"/>
      <x:c r="K60" s="4"/>
      <x:c r="L60" s="4"/>
      <x:c r="M60" s="4"/>
    </x:row>
    <x:row r="61">
      <x:c r="A61" s="79"/>
      <x:c r="C61" s="298" t="str">
        <x:v>Interpretation</x:v>
      </x:c>
      <x:c r="D61" s="310" t="str">
        <x:v>The 30% headline premium raises GXO's LTM adjusted EBITDA multiple from the unaffected level to the offer multiple shown above.</x:v>
      </x:c>
      <x:c r="E61" s="310"/>
      <x:c r="F61" s="310"/>
      <x:c r="G61" s="310"/>
      <x:c r="H61" s="310"/>
      <x:c r="I61" s="310"/>
      <x:c r="J61" s="4"/>
      <x:c r="K61" s="4"/>
      <x:c r="L61" s="4"/>
      <x:c r="M61" s="4"/>
    </x:row>
    <x:row r="62">
      <x:c r="A62" s="79"/>
      <x:c r="C62" s="298" t="str">
        <x:v>Method</x:v>
      </x:c>
      <x:c r="D62" s="310" t="str">
        <x:v>Trading valuation uses GXO's unadjusted 31 December 2025 closing price, basic shares, debt and cash. Transaction valuation uses fully diluted shares.</x:v>
      </x:c>
      <x:c r="E62" s="310"/>
      <x:c r="F62" s="310"/>
      <x:c r="G62" s="310"/>
      <x:c r="H62" s="310"/>
      <x:c r="I62" s="310"/>
      <x:c r="J62" s="4"/>
      <x:c r="K62" s="4"/>
      <x:c r="L62" s="4"/>
      <x:c r="M62" s="4"/>
    </x:row>
    <x:row r="63">
      <x:c r="A63" s="79"/>
      <x:c r="C63" s="298" t="str">
        <x:v>Precedents</x:v>
      </x:c>
      <x:c r="D63" s="310" t="str">
        <x:v>Sector precedent transactions are deferred to the comparable-companies and precedent-transactions module to avoid unsupported benchmarks.</x:v>
      </x:c>
      <x:c r="E63" s="310"/>
      <x:c r="F63" s="310"/>
      <x:c r="G63" s="310"/>
      <x:c r="H63" s="310"/>
      <x:c r="I63" s="310"/>
      <x:c r="J63" s="4"/>
      <x:c r="K63" s="4"/>
      <x:c r="L63" s="4"/>
      <x:c r="M63" s="4"/>
    </x:row>
    <x:row r="64">
      <x:c r="A64" s="79"/>
      <x:c r="C64"/>
      <x:c r="D64"/>
      <x:c r="E64"/>
      <x:c r="F64"/>
      <x:c r="G64"/>
      <x:c r="H64"/>
      <x:c r="I64"/>
      <x:c r="J64" s="4"/>
      <x:c r="K64" s="4"/>
      <x:c r="L64" s="4"/>
      <x:c r="M64" s="4"/>
    </x:row>
    <x:row r="65">
      <x:c r="A65" s="79"/>
      <x:c r="C65"/>
      <x:c r="D65"/>
      <x:c r="E65"/>
      <x:c r="F65"/>
      <x:c r="G65"/>
      <x:c r="H65"/>
      <x:c r="I65"/>
      <x:c r="J65" s="4"/>
      <x:c r="K65" s="4"/>
      <x:c r="L65" s="4"/>
      <x:c r="M65" s="4"/>
    </x:row>
    <x:row r="66">
      <x:c r="A66" s="79"/>
      <x:c r="C66"/>
      <x:c r="D66"/>
      <x:c r="E66"/>
      <x:c r="F66"/>
      <x:c r="G66"/>
      <x:c r="H66"/>
      <x:c r="I66"/>
      <x:c r="J66" s="4"/>
      <x:c r="K66" s="4"/>
      <x:c r="L66" s="4"/>
      <x:c r="M66" s="4"/>
    </x:row>
    <x:row r="67">
      <x:c r="A67" s="79"/>
      <x:c r="C67"/>
      <x:c r="D67"/>
      <x:c r="E67"/>
      <x:c r="F67"/>
      <x:c r="G67"/>
      <x:c r="H67"/>
      <x:c r="I67"/>
      <x:c r="J67" s="4"/>
      <x:c r="K67" s="4"/>
      <x:c r="L67" s="4"/>
      <x:c r="M67" s="4"/>
    </x:row>
    <x:row r="68">
      <x:c r="A68" s="79"/>
      <x:c r="C68"/>
      <x:c r="D68"/>
      <x:c r="E68"/>
      <x:c r="F68"/>
      <x:c r="G68"/>
      <x:c r="H68"/>
      <x:c r="I68"/>
      <x:c r="J68" s="4"/>
      <x:c r="K68" s="4"/>
      <x:c r="L68" s="4"/>
      <x:c r="M68" s="4"/>
    </x:row>
    <x:row r="69">
      <x:c r="A69" s="79"/>
      <x:c r="C69"/>
      <x:c r="D69"/>
      <x:c r="E69"/>
      <x:c r="F69"/>
      <x:c r="G69"/>
      <x:c r="H69"/>
      <x:c r="I69"/>
      <x:c r="J69" s="4"/>
      <x:c r="K69" s="4"/>
      <x:c r="L69" s="4"/>
      <x:c r="M69" s="4"/>
    </x:row>
    <x:row r="70">
      <x:c r="A70" s="79"/>
      <x:c r="C70"/>
      <x:c r="D70"/>
      <x:c r="E70"/>
      <x:c r="F70"/>
      <x:c r="G70"/>
      <x:c r="H70"/>
      <x:c r="I70"/>
      <x:c r="J70" s="4"/>
      <x:c r="K70" s="4"/>
      <x:c r="L70" s="4"/>
      <x:c r="M70" s="4"/>
    </x:row>
    <x:row r="71">
      <x:c r="A71" s="79"/>
      <x:c r="C71"/>
      <x:c r="D71"/>
      <x:c r="E71"/>
      <x:c r="F71"/>
      <x:c r="G71"/>
      <x:c r="H71"/>
      <x:c r="I71"/>
      <x:c r="J71" s="4"/>
      <x:c r="K71" s="4"/>
      <x:c r="L71" s="4"/>
      <x:c r="M71" s="4"/>
    </x:row>
    <x:row r="72">
      <x:c r="A72" s="79"/>
      <x:c r="C72"/>
      <x:c r="D72"/>
      <x:c r="E72"/>
      <x:c r="F72"/>
      <x:c r="G72"/>
      <x:c r="H72"/>
      <x:c r="I72"/>
      <x:c r="J72" s="4"/>
      <x:c r="K72" s="4"/>
      <x:c r="L72" s="4"/>
      <x:c r="M72" s="4"/>
    </x:row>
    <x:row r="73">
      <x:c r="A73" s="79"/>
      <x:c r="C73"/>
      <x:c r="D73"/>
      <x:c r="E73"/>
      <x:c r="F73"/>
      <x:c r="G73"/>
      <x:c r="H73"/>
      <x:c r="I73"/>
      <x:c r="J73" s="4"/>
      <x:c r="K73" s="4"/>
      <x:c r="L73" s="4"/>
      <x:c r="M73" s="4"/>
    </x:row>
    <x:row r="74">
      <x:c r="A74" s="79"/>
      <x:c r="C74"/>
      <x:c r="D74"/>
      <x:c r="E74"/>
      <x:c r="F74"/>
      <x:c r="G74"/>
      <x:c r="H74"/>
      <x:c r="I74"/>
      <x:c r="J74" s="4"/>
      <x:c r="K74" s="4"/>
      <x:c r="L74" s="4"/>
      <x:c r="M74" s="4"/>
    </x:row>
    <x:row r="75">
      <x:c r="A75" s="79"/>
      <x:c r="C75"/>
      <x:c r="D75"/>
      <x:c r="E75"/>
      <x:c r="F75"/>
      <x:c r="G75"/>
      <x:c r="H75"/>
      <x:c r="I75"/>
      <x:c r="J75" s="4"/>
      <x:c r="K75" s="4"/>
      <x:c r="L75" s="4"/>
      <x:c r="M75" s="4"/>
    </x:row>
    <x:row r="76">
      <x:c r="A76" s="79"/>
      <x:c r="C76"/>
      <x:c r="D76"/>
      <x:c r="E76"/>
      <x:c r="F76"/>
      <x:c r="G76"/>
      <x:c r="H76"/>
      <x:c r="I76"/>
      <x:c r="J76" s="4"/>
      <x:c r="K76" s="4"/>
      <x:c r="L76" s="4"/>
      <x:c r="M76" s="4"/>
    </x:row>
    <x:row r="77">
      <x:c r="A77" s="79"/>
      <x:c r="C77"/>
      <x:c r="D77"/>
      <x:c r="E77"/>
      <x:c r="F77"/>
      <x:c r="G77"/>
      <x:c r="H77"/>
      <x:c r="I77"/>
      <x:c r="J77" s="4"/>
      <x:c r="K77" s="4"/>
      <x:c r="L77" s="4"/>
      <x:c r="M77" s="4"/>
    </x:row>
    <x:row r="78">
      <x:c r="A78" s="79"/>
      <x:c r="C78"/>
      <x:c r="D78"/>
      <x:c r="E78"/>
      <x:c r="F78"/>
      <x:c r="G78"/>
      <x:c r="H78"/>
      <x:c r="I78"/>
      <x:c r="J78" s="4"/>
      <x:c r="K78" s="4"/>
      <x:c r="L78" s="4"/>
      <x:c r="M78" s="4"/>
    </x:row>
    <x:row r="79">
      <x:c r="A79" s="79"/>
      <x:c r="C79"/>
      <x:c r="D79"/>
      <x:c r="E79"/>
      <x:c r="F79"/>
      <x:c r="G79"/>
      <x:c r="H79"/>
      <x:c r="I79"/>
      <x:c r="J79" s="4"/>
      <x:c r="K79" s="4"/>
      <x:c r="L79" s="4"/>
      <x:c r="M79" s="4"/>
    </x:row>
    <x:row r="80">
      <x:c r="A80" s="79"/>
      <x:c r="C80"/>
      <x:c r="D80"/>
      <x:c r="E80"/>
      <x:c r="F80"/>
      <x:c r="G80"/>
      <x:c r="H80"/>
      <x:c r="I80"/>
      <x:c r="J80" s="4"/>
      <x:c r="K80" s="4"/>
      <x:c r="L80" s="4"/>
      <x:c r="M80" s="4"/>
    </x:row>
    <x:row r="81">
      <x:c r="A81" s="79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</x:row>
    <x:row r="82">
      <x:c r="A82" s="79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</x:row>
    <x:row r="83">
      <x:c r="A83" s="79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>
      <x:c r="A84" s="79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</x:row>
    <x:row r="85">
      <x:c r="A85" s="79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</x:row>
    <x:row r="86">
      <x:c r="A86" s="79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</x:row>
    <x:row r="87">
      <x:c r="A87" s="79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</x:row>
    <x:row r="88">
      <x:c r="A88" s="79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</x:row>
    <x:row r="89">
      <x:c r="A89" s="79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</x:row>
    <x:row r="90">
      <x:c r="A90" s="79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</x:row>
    <x:row r="91">
      <x:c r="A91" s="79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>
      <x:c r="A92" s="79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>
      <x:c r="A93" s="79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79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>
      <x:c r="A95" s="79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>
      <x:c r="A96" s="79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79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79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79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79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20" hidden="0" customWidth="1"/>
    <x:col min="5" max="5" width="2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Sources and uses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Transaction funding bridge, consideration mix and ownership at the assumed closing date | USD in millions except per-share data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322" t="str">
        <x:v>Uses</x:v>
      </x:c>
      <x:c r="D6" s="323"/>
      <x:c r="E6" s="323"/>
      <x:c r="F6" s="324"/>
      <x:c r="G6" s="4"/>
      <x:c r="H6" s="4"/>
      <x:c r="I6" s="4"/>
      <x:c r="J6" s="4"/>
      <x:c r="K6" s="4"/>
      <x:c r="L6" s="4"/>
      <x:c r="M6" s="4"/>
    </x:row>
    <x:row r="7" ht="16" customHeight="1">
      <x:c r="A7" s="79"/>
      <x:c r="C7" s="327" t="str">
        <x:v>Use</x:v>
      </x:c>
      <x:c r="D7" s="340" t="str">
        <x:v>Amount</x:v>
      </x:c>
      <x:c r="E7" s="350" t="str">
        <x:v>% of uses</x:v>
      </x:c>
      <x:c r="F7" s="350" t="str">
        <x:v>Source / status</x:v>
      </x:c>
      <x:c r="G7" s="4"/>
      <x:c r="H7" s="4"/>
      <x:c r="I7" s="4"/>
      <x:c r="J7" s="4"/>
      <x:c r="K7" s="4"/>
      <x:c r="L7" s="4"/>
      <x:c r="M7" s="4"/>
    </x:row>
    <x:row r="8" ht="16" customHeight="1">
      <x:c r="A8" s="79"/>
      <x:c r="C8" t="str">
        <x:v>Equity purchase price</x:v>
      </x:c>
      <x:c r="D8" s="341" t="n">
        <x:f>'Transaction Valuation'!D16</x:f>
        <x:v>8070.6527</x:v>
      </x:c>
      <x:c r="E8" s="351" t="n">
        <x:f>D8/$D$12</x:f>
        <x:v>0.7102524653355271</x:v>
      </x:c>
      <x:c r="F8" s="353" t="str">
        <x:v>Transaction Valuation</x:v>
      </x:c>
      <x:c r="G8" s="4"/>
      <x:c r="H8" s="4"/>
      <x:c r="I8" s="4"/>
      <x:c r="J8" s="4"/>
      <x:c r="K8" s="4"/>
      <x:c r="L8" s="4"/>
      <x:c r="M8" s="4"/>
    </x:row>
    <x:row r="9" ht="16" customHeight="1">
      <x:c r="A9" s="79"/>
      <x:c r="C9" t="str">
        <x:v>Refinance GXO debt</x:v>
      </x:c>
      <x:c r="D9" s="341" t="n">
        <x:f>'Transaction Assumptions'!D18</x:f>
        <x:v>3065</x:v>
      </x:c>
      <x:c r="E9" s="351" t="n">
        <x:f>D9/$D$12</x:f>
        <x:v>0.26973330251881494</x:v>
      </x:c>
      <x:c r="F9" s="353" t="str">
        <x:v>A08</x:v>
      </x:c>
      <x:c r="G9" s="4"/>
      <x:c r="H9" s="4"/>
      <x:c r="I9" s="4"/>
      <x:c r="J9" s="4"/>
      <x:c r="K9" s="4"/>
      <x:c r="L9" s="4"/>
      <x:c r="M9" s="4"/>
    </x:row>
    <x:row r="10" ht="16" customHeight="1">
      <x:c r="A10" s="79"/>
      <x:c r="C10" t="str">
        <x:v>Transaction fees</x:v>
      </x:c>
      <x:c r="D10" s="342" t="n">
        <x:f>D8*'Transaction Assumptions'!D20</x:f>
        <x:v>121.05979049999999</x:v>
      </x:c>
      <x:c r="E10" s="351" t="n">
        <x:f>D10/$D$12</x:f>
        <x:v>0.010653786980032906</x:v>
      </x:c>
      <x:c r="F10" s="353" t="str">
        <x:v>A10</x:v>
      </x:c>
      <x:c r="G10" s="4"/>
      <x:c r="H10" s="4"/>
      <x:c r="I10" s="4"/>
      <x:c r="J10" s="4"/>
      <x:c r="K10" s="4"/>
      <x:c r="L10" s="4"/>
      <x:c r="M10" s="4"/>
    </x:row>
    <x:row r="11" ht="16" customHeight="1">
      <x:c r="A11" s="79"/>
      <x:c r="C11" t="str">
        <x:v>Financing fees</x:v>
      </x:c>
      <x:c r="D11" s="342" t="n">
        <x:f>D19*'Transaction Assumptions'!D21</x:f>
        <x:v>106.36344924683543</x:v>
      </x:c>
      <x:c r="E11" s="351" t="n">
        <x:f>D11/$D$12</x:f>
        <x:v>0.009360445165625213</x:v>
      </x:c>
      <x:c r="F11" s="353" t="str">
        <x:v>A11</x:v>
      </x:c>
      <x:c r="G11" s="4"/>
      <x:c r="H11" s="4"/>
      <x:c r="I11" s="4"/>
      <x:c r="J11" s="4"/>
      <x:c r="K11" s="4"/>
      <x:c r="L11" s="4"/>
      <x:c r="M11" s="4"/>
    </x:row>
    <x:row r="12" ht="16" customHeight="1">
      <x:c r="A12" s="79"/>
      <x:c r="C12" s="287" t="str">
        <x:v>Total uses</x:v>
      </x:c>
      <x:c r="D12" s="343" t="n">
        <x:f>SUM(D8:D11)</x:f>
        <x:v>11363.075939746834</x:v>
      </x:c>
      <x:c r="E12" s="352" t="n">
        <x:f>SUM(E8:E11)</x:f>
        <x:v>1.0000000000000002</x:v>
      </x:c>
      <x:c r="F12" s="356" t="str">
        <x:v>Calculated</x:v>
      </x:c>
      <x:c r="G12" s="4"/>
      <x:c r="H12" s="4"/>
      <x:c r="I12" s="4"/>
      <x:c r="J12" s="4"/>
      <x:c r="K12" s="4"/>
      <x:c r="L12" s="4"/>
      <x:c r="M12" s="4"/>
    </x:row>
    <x:row r="13" ht="16" customHeight="1">
      <x:c r="A13" s="79"/>
      <x:c r="C13"/>
      <x:c r="D13" s="344"/>
      <x:c r="E13" s="353"/>
      <x:c r="F13" s="353"/>
      <x:c r="G13" s="4"/>
      <x:c r="H13" s="4"/>
      <x:c r="I13" s="4"/>
      <x:c r="J13" s="4"/>
      <x:c r="K13" s="4"/>
      <x:c r="L13" s="4"/>
      <x:c r="M13" s="4"/>
    </x:row>
    <x:row r="14" ht="16" customHeight="1">
      <x:c r="A14" s="79"/>
      <x:c r="C14"/>
      <x:c r="D14" s="344"/>
      <x:c r="E14" s="353"/>
      <x:c r="F14" s="353"/>
      <x:c r="G14" s="4"/>
      <x:c r="H14" s="4"/>
      <x:c r="I14" s="4"/>
      <x:c r="J14" s="4"/>
      <x:c r="K14" s="4"/>
      <x:c r="L14" s="4"/>
      <x:c r="M14" s="4"/>
    </x:row>
    <x:row r="15" ht="16" customHeight="1">
      <x:c r="A15" s="79"/>
      <x:c r="C15" s="322" t="str">
        <x:v>Sources</x:v>
      </x:c>
      <x:c r="D15" s="345"/>
      <x:c r="E15" s="354"/>
      <x:c r="F15" s="358"/>
      <x:c r="G15" s="4"/>
      <x:c r="H15" s="4"/>
      <x:c r="I15" s="4"/>
      <x:c r="J15" s="4"/>
      <x:c r="K15" s="4"/>
      <x:c r="L15" s="4"/>
      <x:c r="M15" s="4"/>
    </x:row>
    <x:row r="16" ht="16" customHeight="1">
      <x:c r="A16" s="79"/>
      <x:c r="C16" s="327" t="str">
        <x:v>Source</x:v>
      </x:c>
      <x:c r="D16" s="340" t="str">
        <x:v>Amount</x:v>
      </x:c>
      <x:c r="E16" s="350" t="str">
        <x:v>% of sources</x:v>
      </x:c>
      <x:c r="F16" s="350" t="str">
        <x:v>Source / status</x:v>
      </x:c>
      <x:c r="G16" s="4"/>
      <x:c r="H16" s="4"/>
      <x:c r="I16" s="4"/>
      <x:c r="J16" s="4"/>
      <x:c r="K16" s="4"/>
      <x:c r="L16" s="4"/>
      <x:c r="M16" s="4"/>
    </x:row>
    <x:row r="17" ht="16" customHeight="1">
      <x:c r="A17" s="79"/>
      <x:c r="C17" t="str">
        <x:v>UPS cash</x:v>
      </x:c>
      <x:c r="D17" s="341" t="n">
        <x:f>'Transaction Assumptions'!D19</x:f>
        <x:v>2000</x:v>
      </x:c>
      <x:c r="E17" s="351" t="n">
        <x:f>D17/$D$21</x:f>
        <x:v>0.1760086802732887</x:v>
      </x:c>
      <x:c r="F17" s="353" t="str">
        <x:v>A09</x:v>
      </x:c>
      <x:c r="G17" s="4"/>
      <x:c r="H17" s="4"/>
      <x:c r="I17" s="4"/>
      <x:c r="J17" s="4"/>
      <x:c r="K17" s="4"/>
      <x:c r="L17" s="4"/>
      <x:c r="M17" s="4"/>
    </x:row>
    <x:row r="18" ht="16" customHeight="1">
      <x:c r="A18" s="79"/>
      <x:c r="C18" t="str">
        <x:v>GXO cash acquired</x:v>
      </x:c>
      <x:c r="D18" s="341" t="n">
        <x:f>'Transaction Assumptions'!D17</x:f>
        <x:v>854</x:v>
      </x:c>
      <x:c r="E18" s="351" t="n">
        <x:f>D18/$D$21</x:f>
        <x:v>0.07515570647669427</x:v>
      </x:c>
      <x:c r="F18" s="353" t="str">
        <x:v>A07</x:v>
      </x:c>
      <x:c r="G18" s="4"/>
      <x:c r="H18" s="4"/>
      <x:c r="I18" s="4"/>
      <x:c r="J18" s="4"/>
      <x:c r="K18" s="4"/>
      <x:c r="L18" s="4"/>
      <x:c r="M18" s="4"/>
    </x:row>
    <x:row r="19" ht="16" customHeight="1">
      <x:c r="A19" s="79"/>
      <x:c r="C19" t="str">
        <x:v>New acquisition debt</x:v>
      </x:c>
      <x:c r="D19" s="342" t="n">
        <x:f>(D8+D9+D10-D17-D18-D20)/(1-'Transaction Assumptions'!D21)</x:f>
        <x:v>8509.075939746834</x:v>
      </x:c>
      <x:c r="E19" s="351" t="n">
        <x:f>D19/$D$21</x:f>
        <x:v>0.748835613250017</x:v>
      </x:c>
      <x:c r="F19" s="353" t="str">
        <x:v>Calculated plug</x:v>
      </x:c>
      <x:c r="G19" s="4"/>
      <x:c r="H19" s="4"/>
      <x:c r="I19" s="4"/>
      <x:c r="J19" s="4"/>
      <x:c r="K19" s="4"/>
      <x:c r="L19" s="4"/>
      <x:c r="M19" s="4"/>
    </x:row>
    <x:row r="20" ht="16" customHeight="1">
      <x:c r="A20" s="79"/>
      <x:c r="C20" t="str">
        <x:v>Stock consideration</x:v>
      </x:c>
      <x:c r="D20" s="342" t="n">
        <x:f>D8*'Transaction Assumptions'!D32</x:f>
        <x:v>0</x:v>
      </x:c>
      <x:c r="E20" s="351" t="n">
        <x:f>D20/$D$21</x:f>
        <x:v>0</x:v>
      </x:c>
      <x:c r="F20" s="353" t="str">
        <x:v>A15</x:v>
      </x:c>
      <x:c r="G20" s="4"/>
      <x:c r="H20" s="4"/>
      <x:c r="I20" s="4"/>
      <x:c r="J20" s="4"/>
      <x:c r="K20" s="4"/>
      <x:c r="L20" s="4"/>
      <x:c r="M20" s="4"/>
    </x:row>
    <x:row r="21" ht="16" customHeight="1">
      <x:c r="A21" s="79"/>
      <x:c r="C21" s="287" t="str">
        <x:v>Total sources</x:v>
      </x:c>
      <x:c r="D21" s="343" t="n">
        <x:f>SUM(D17:D20)</x:f>
        <x:v>11363.075939746834</x:v>
      </x:c>
      <x:c r="E21" s="352" t="n">
        <x:f>SUM(E17:E20)</x:f>
        <x:v>1</x:v>
      </x:c>
      <x:c r="F21" s="356" t="str">
        <x:v>Calculated</x:v>
      </x:c>
      <x:c r="G21" s="4"/>
      <x:c r="H21" s="4"/>
      <x:c r="I21" s="4"/>
      <x:c r="J21" s="4"/>
      <x:c r="K21" s="4"/>
      <x:c r="L21" s="4"/>
      <x:c r="M21" s="4"/>
    </x:row>
    <x:row r="22" ht="16" customHeight="1">
      <x:c r="A22" s="79"/>
      <x:c r="C22" s="334" t="str">
        <x:v>Sources less uses</x:v>
      </x:c>
      <x:c r="D22" s="346" t="n">
        <x:f>D21-D12</x:f>
        <x:v>0</x:v>
      </x:c>
      <x:c r="E22" s="355" t="n">
        <x:f>D22/D12</x:f>
        <x:v>0</x:v>
      </x:c>
      <x:c r="F22" s="359" t="str">
        <x:v>Control</x:v>
      </x:c>
      <x:c r="G22" s="4"/>
      <x:c r="H22" s="4"/>
      <x:c r="I22" s="4"/>
      <x:c r="J22" s="4"/>
      <x:c r="K22" s="4"/>
      <x:c r="L22" s="4"/>
      <x:c r="M22" s="4"/>
    </x:row>
    <x:row r="23" ht="16" customHeight="1">
      <x:c r="A23" s="79"/>
      <x:c r="C23"/>
      <x:c r="D23" s="344"/>
      <x:c r="E23" s="353"/>
      <x:c r="F23" s="353"/>
      <x:c r="G23" s="4"/>
      <x:c r="H23" s="4"/>
      <x:c r="I23" s="4"/>
      <x:c r="J23" s="4"/>
      <x:c r="K23" s="4"/>
      <x:c r="L23" s="4"/>
      <x:c r="M23" s="4"/>
    </x:row>
    <x:row r="24" ht="16" customHeight="1">
      <x:c r="A24" s="79"/>
      <x:c r="C24"/>
      <x:c r="D24" s="344"/>
      <x:c r="E24" s="353"/>
      <x:c r="F24" s="353"/>
      <x:c r="G24" s="4"/>
      <x:c r="H24" s="4"/>
      <x:c r="I24" s="4"/>
      <x:c r="J24" s="4"/>
      <x:c r="K24" s="4"/>
      <x:c r="L24" s="4"/>
      <x:c r="M24" s="4"/>
    </x:row>
    <x:row r="25" ht="16" customHeight="1">
      <x:c r="A25" s="79"/>
      <x:c r="C25" s="322" t="str">
        <x:v>Funding mix</x:v>
      </x:c>
      <x:c r="D25" s="345"/>
      <x:c r="E25" s="354"/>
      <x:c r="F25" s="358"/>
      <x:c r="G25" s="4"/>
      <x:c r="H25" s="4"/>
      <x:c r="I25" s="4"/>
      <x:c r="J25" s="4"/>
      <x:c r="K25" s="4"/>
      <x:c r="L25" s="4"/>
      <x:c r="M25" s="4"/>
    </x:row>
    <x:row r="26" ht="16" customHeight="1">
      <x:c r="A26" s="79"/>
      <x:c r="C26" s="327" t="str">
        <x:v>Funding source</x:v>
      </x:c>
      <x:c r="D26" s="340" t="str">
        <x:v>Amount</x:v>
      </x:c>
      <x:c r="E26" s="350" t="str">
        <x:v>% of total uses</x:v>
      </x:c>
      <x:c r="F26" s="350" t="str">
        <x:v>% of equity purchase price</x:v>
      </x:c>
      <x:c r="G26" s="4"/>
      <x:c r="H26" s="4"/>
      <x:c r="I26" s="4"/>
      <x:c r="J26" s="4"/>
      <x:c r="K26" s="4"/>
      <x:c r="L26" s="4"/>
      <x:c r="M26" s="4"/>
    </x:row>
    <x:row r="27" ht="16" customHeight="1">
      <x:c r="A27" s="79"/>
      <x:c r="C27" t="str">
        <x:v>UPS cash</x:v>
      </x:c>
      <x:c r="D27" s="342" t="n">
        <x:f>D17</x:f>
        <x:v>2000</x:v>
      </x:c>
      <x:c r="E27" s="351" t="n">
        <x:f>D27/$D$12</x:f>
        <x:v>0.1760086802732887</x:v>
      </x:c>
      <x:c r="F27" s="351" t="n">
        <x:f>D27/$D$8</x:f>
        <x:v>0.24781143165781375</x:v>
      </x:c>
      <x:c r="G27" s="4"/>
      <x:c r="H27" s="4"/>
      <x:c r="I27" s="4"/>
      <x:c r="J27" s="4"/>
      <x:c r="K27" s="4"/>
      <x:c r="L27" s="4"/>
      <x:c r="M27" s="4"/>
    </x:row>
    <x:row r="28" ht="16" customHeight="1">
      <x:c r="A28" s="79"/>
      <x:c r="C28" t="str">
        <x:v>GXO cash acquired</x:v>
      </x:c>
      <x:c r="D28" s="342" t="n">
        <x:f>D18</x:f>
        <x:v>854</x:v>
      </x:c>
      <x:c r="E28" s="351" t="n">
        <x:f>D28/$D$12</x:f>
        <x:v>0.07515570647669427</x:v>
      </x:c>
      <x:c r="F28" s="351" t="n">
        <x:f>D28/$D$8</x:f>
        <x:v>0.10581548131788647</x:v>
      </x:c>
      <x:c r="G28" s="4"/>
      <x:c r="H28" s="4"/>
      <x:c r="I28" s="4"/>
      <x:c r="J28" s="4"/>
      <x:c r="K28" s="4"/>
      <x:c r="L28" s="4"/>
      <x:c r="M28" s="4"/>
    </x:row>
    <x:row r="29" ht="16" customHeight="1">
      <x:c r="A29" s="79"/>
      <x:c r="C29" t="str">
        <x:v>New acquisition debt</x:v>
      </x:c>
      <x:c r="D29" s="342" t="n">
        <x:f>D19</x:f>
        <x:v>8509.075939746834</x:v>
      </x:c>
      <x:c r="E29" s="351" t="n">
        <x:f>D29/$D$12</x:f>
        <x:v>0.748835613250017</x:v>
      </x:c>
      <x:c r="F29" s="351" t="n">
        <x:f>D29/$D$8</x:f>
        <x:v>1.05432314535686</x:v>
      </x:c>
      <x:c r="G29" s="4"/>
      <x:c r="H29" s="4"/>
      <x:c r="I29" s="4"/>
      <x:c r="J29" s="4"/>
      <x:c r="K29" s="4"/>
      <x:c r="L29" s="4"/>
      <x:c r="M29" s="4"/>
    </x:row>
    <x:row r="30" ht="16" customHeight="1">
      <x:c r="A30" s="79"/>
      <x:c r="C30" t="str">
        <x:v>Stock consideration</x:v>
      </x:c>
      <x:c r="D30" s="342" t="n">
        <x:f>D20</x:f>
        <x:v>0</x:v>
      </x:c>
      <x:c r="E30" s="351" t="n">
        <x:f>D30/$D$12</x:f>
        <x:v>0</x:v>
      </x:c>
      <x:c r="F30" s="351" t="n">
        <x:f>D30/$D$8</x:f>
        <x:v>0</x:v>
      </x:c>
      <x:c r="G30" s="4"/>
      <x:c r="H30" s="4"/>
      <x:c r="I30" s="4"/>
      <x:c r="J30" s="4"/>
      <x:c r="K30" s="4"/>
      <x:c r="L30" s="4"/>
      <x:c r="M30" s="4"/>
    </x:row>
    <x:row r="31" ht="16" customHeight="1">
      <x:c r="A31" s="79"/>
      <x:c r="C31" s="287" t="str">
        <x:v>Total funding</x:v>
      </x:c>
      <x:c r="D31" s="343" t="n">
        <x:f>SUM(D27:D30)</x:f>
        <x:v>11363.075939746834</x:v>
      </x:c>
      <x:c r="E31" s="352" t="n">
        <x:f>SUM(E27:E30)</x:f>
        <x:v>1</x:v>
      </x:c>
      <x:c r="F31" s="352" t="n">
        <x:f>SUM(F27:F30)</x:f>
        <x:v>1.4079500583325602</x:v>
      </x:c>
      <x:c r="G31" s="4"/>
      <x:c r="H31" s="4"/>
      <x:c r="I31" s="4"/>
      <x:c r="J31" s="4"/>
      <x:c r="K31" s="4"/>
      <x:c r="L31" s="4"/>
      <x:c r="M31" s="4"/>
    </x:row>
    <x:row r="32" ht="16" customHeight="1">
      <x:c r="A32" s="79"/>
      <x:c r="C32"/>
      <x:c r="D32" s="344"/>
      <x:c r="E32" s="353"/>
      <x:c r="F32" s="353"/>
      <x:c r="G32" s="4"/>
      <x:c r="H32" s="4"/>
      <x:c r="I32" s="4"/>
      <x:c r="J32" s="4"/>
      <x:c r="K32" s="4"/>
      <x:c r="L32" s="4"/>
      <x:c r="M32" s="4"/>
    </x:row>
    <x:row r="33" ht="16" customHeight="1">
      <x:c r="A33" s="79"/>
      <x:c r="C33"/>
      <x:c r="D33" s="344"/>
      <x:c r="E33" s="353"/>
      <x:c r="F33" s="353"/>
      <x:c r="G33" s="4"/>
      <x:c r="H33" s="4"/>
      <x:c r="I33" s="4"/>
      <x:c r="J33" s="4"/>
      <x:c r="K33" s="4"/>
      <x:c r="L33" s="4"/>
      <x:c r="M33" s="4"/>
    </x:row>
    <x:row r="34" ht="16" customHeight="1">
      <x:c r="A34" s="79"/>
      <x:c r="C34" s="322" t="str">
        <x:v>Consideration and pro forma ownership</x:v>
      </x:c>
      <x:c r="D34" s="345"/>
      <x:c r="E34" s="354"/>
      <x:c r="F34" s="358"/>
      <x:c r="G34" s="4"/>
      <x:c r="H34" s="4"/>
      <x:c r="I34" s="4"/>
      <x:c r="J34" s="4"/>
      <x:c r="K34" s="4"/>
      <x:c r="L34" s="4"/>
      <x:c r="M34" s="4"/>
    </x:row>
    <x:row r="35" ht="16" customHeight="1">
      <x:c r="A35" s="79"/>
      <x:c r="C35" s="327" t="str">
        <x:v>Metric</x:v>
      </x:c>
      <x:c r="D35" s="340" t="str">
        <x:v>Value</x:v>
      </x:c>
      <x:c r="E35" s="350" t="str">
        <x:v>Units</x:v>
      </x:c>
      <x:c r="F35" s="350" t="str">
        <x:v>Source / status</x:v>
      </x:c>
      <x:c r="G35" s="4"/>
      <x:c r="H35" s="4"/>
      <x:c r="I35" s="4"/>
      <x:c r="J35" s="4"/>
      <x:c r="K35" s="4"/>
      <x:c r="L35" s="4"/>
      <x:c r="M35" s="4"/>
    </x:row>
    <x:row r="36" ht="16" customHeight="1">
      <x:c r="A36" s="79"/>
      <x:c r="C36" t="str">
        <x:v>Cash consideration</x:v>
      </x:c>
      <x:c r="D36" s="342" t="n">
        <x:f>D8-D37</x:f>
        <x:v>8070.6527</x:v>
      </x:c>
      <x:c r="E36" s="353" t="str">
        <x:v>USD mm</x:v>
      </x:c>
      <x:c r="F36" s="353" t="str">
        <x:v>Calculated</x:v>
      </x:c>
      <x:c r="G36" s="4"/>
      <x:c r="H36" s="4"/>
      <x:c r="I36" s="4"/>
      <x:c r="J36" s="4"/>
      <x:c r="K36" s="4"/>
      <x:c r="L36" s="4"/>
      <x:c r="M36" s="4"/>
    </x:row>
    <x:row r="37" ht="16" customHeight="1">
      <x:c r="A37" s="79"/>
      <x:c r="C37" t="str">
        <x:v>Stock consideration</x:v>
      </x:c>
      <x:c r="D37" s="342" t="n">
        <x:f>D20</x:f>
        <x:v>0</x:v>
      </x:c>
      <x:c r="E37" s="353" t="str">
        <x:v>USD mm</x:v>
      </x:c>
      <x:c r="F37" s="353" t="str">
        <x:v>A15</x:v>
      </x:c>
      <x:c r="G37" s="4"/>
      <x:c r="H37" s="4"/>
      <x:c r="I37" s="4"/>
      <x:c r="J37" s="4"/>
      <x:c r="K37" s="4"/>
      <x:c r="L37" s="4"/>
      <x:c r="M37" s="4"/>
    </x:row>
    <x:row r="38" ht="16" customHeight="1">
      <x:c r="A38" s="79"/>
      <x:c r="C38" t="str">
        <x:v>Cash consideration %</x:v>
      </x:c>
      <x:c r="D38" s="347" t="n">
        <x:f>D36/D8</x:f>
        <x:v>1</x:v>
      </x:c>
      <x:c r="E38" s="353" t="str">
        <x:v>%</x:v>
      </x:c>
      <x:c r="F38" s="353" t="str">
        <x:v>Calculated</x:v>
      </x:c>
      <x:c r="G38" s="4"/>
      <x:c r="H38" s="4"/>
      <x:c r="I38" s="4"/>
      <x:c r="J38" s="4"/>
      <x:c r="K38" s="4"/>
      <x:c r="L38" s="4"/>
      <x:c r="M38" s="4"/>
    </x:row>
    <x:row r="39" ht="16" customHeight="1">
      <x:c r="A39" s="79"/>
      <x:c r="C39" t="str">
        <x:v>Stock consideration %</x:v>
      </x:c>
      <x:c r="D39" s="347" t="n">
        <x:f>D37/D8</x:f>
        <x:v>0</x:v>
      </x:c>
      <x:c r="E39" s="353" t="str">
        <x:v>%</x:v>
      </x:c>
      <x:c r="F39" s="353" t="str">
        <x:v>A15</x:v>
      </x:c>
      <x:c r="G39" s="4"/>
      <x:c r="H39" s="4"/>
      <x:c r="I39" s="4"/>
      <x:c r="J39" s="4"/>
      <x:c r="K39" s="4"/>
      <x:c r="L39" s="4"/>
      <x:c r="M39" s="4"/>
    </x:row>
    <x:row r="40" ht="16" customHeight="1">
      <x:c r="A40" s="79"/>
      <x:c r="C40" t="str">
        <x:v>New UPS shares issued</x:v>
      </x:c>
      <x:c r="D40" s="348" t="n">
        <x:f>D37/'Transaction Assumptions'!D33</x:f>
        <x:v>0</x:v>
      </x:c>
      <x:c r="E40" s="353" t="str">
        <x:v>mm shares</x:v>
      </x:c>
      <x:c r="F40" s="353" t="str">
        <x:v>A15 / S05</x:v>
      </x:c>
      <x:c r="G40" s="4"/>
      <x:c r="H40" s="4"/>
      <x:c r="I40" s="4"/>
      <x:c r="J40" s="4"/>
      <x:c r="K40" s="4"/>
      <x:c r="L40" s="4"/>
      <x:c r="M40" s="4"/>
    </x:row>
    <x:row r="41" ht="16" customHeight="1">
      <x:c r="A41" s="79"/>
      <x:c r="C41" t="str">
        <x:v>Legacy UPS diluted shares</x:v>
      </x:c>
      <x:c r="D41" s="348" t="n">
        <x:f>'Standalone Forecasts'!G21</x:f>
        <x:v>844.755</x:v>
      </x:c>
      <x:c r="E41" s="353" t="str">
        <x:v>mm shares</x:v>
      </x:c>
      <x:c r="F41" s="353" t="str">
        <x:v>Standalone Forecasts</x:v>
      </x:c>
      <x:c r="G41" s="4"/>
      <x:c r="H41" s="4"/>
      <x:c r="I41" s="4"/>
      <x:c r="J41" s="4"/>
      <x:c r="K41" s="4"/>
      <x:c r="L41" s="4"/>
      <x:c r="M41" s="4"/>
    </x:row>
    <x:row r="42" ht="16" customHeight="1">
      <x:c r="A42" s="79"/>
      <x:c r="C42" t="str">
        <x:v>Pro forma diluted shares</x:v>
      </x:c>
      <x:c r="D42" s="348" t="n">
        <x:f>SUM(D40:D41)</x:f>
        <x:v>844.755</x:v>
      </x:c>
      <x:c r="E42" s="353" t="str">
        <x:v>mm shares</x:v>
      </x:c>
      <x:c r="F42" s="353" t="str">
        <x:v>Calculated</x:v>
      </x:c>
      <x:c r="G42" s="4"/>
      <x:c r="H42" s="4"/>
      <x:c r="I42" s="4"/>
      <x:c r="J42" s="4"/>
      <x:c r="K42" s="4"/>
      <x:c r="L42" s="4"/>
      <x:c r="M42" s="4"/>
    </x:row>
    <x:row r="43" ht="16" customHeight="1">
      <x:c r="A43" s="79"/>
      <x:c r="C43" t="str">
        <x:v>Legacy UPS ownership</x:v>
      </x:c>
      <x:c r="D43" s="347" t="n">
        <x:f>D41/D42</x:f>
        <x:v>1</x:v>
      </x:c>
      <x:c r="E43" s="353" t="str">
        <x:v>%</x:v>
      </x:c>
      <x:c r="F43" s="353" t="str">
        <x:v>Calculated</x:v>
      </x:c>
      <x:c r="G43" s="4"/>
      <x:c r="H43" s="4"/>
      <x:c r="I43" s="4"/>
      <x:c r="J43" s="4"/>
      <x:c r="K43" s="4"/>
      <x:c r="L43" s="4"/>
      <x:c r="M43" s="4"/>
    </x:row>
    <x:row r="44" ht="16" customHeight="1">
      <x:c r="A44" s="79"/>
      <x:c r="C44" t="str">
        <x:v>Former GXO ownership</x:v>
      </x:c>
      <x:c r="D44" s="347" t="n">
        <x:f>D40/D42</x:f>
        <x:v>0</x:v>
      </x:c>
      <x:c r="E44" s="353" t="str">
        <x:v>%</x:v>
      </x:c>
      <x:c r="F44" s="353" t="str">
        <x:v>Calculated</x:v>
      </x:c>
      <x:c r="G44" s="4"/>
      <x:c r="H44" s="4"/>
      <x:c r="I44" s="4"/>
      <x:c r="J44" s="4"/>
      <x:c r="K44" s="4"/>
      <x:c r="L44" s="4"/>
      <x:c r="M44" s="4"/>
    </x:row>
    <x:row r="45" ht="16" customHeight="1">
      <x:c r="A45" s="79"/>
      <x:c r="C45"/>
      <x:c r="D45" s="344"/>
      <x:c r="E45" s="353"/>
      <x:c r="F45" s="353"/>
      <x:c r="G45" s="4"/>
      <x:c r="H45" s="4"/>
      <x:c r="I45" s="4"/>
      <x:c r="J45" s="4"/>
      <x:c r="K45" s="4"/>
      <x:c r="L45" s="4"/>
      <x:c r="M45" s="4"/>
    </x:row>
    <x:row r="46" ht="16" customHeight="1">
      <x:c r="A46" s="79"/>
      <x:c r="C46"/>
      <x:c r="D46" s="344"/>
      <x:c r="E46" s="353"/>
      <x:c r="F46" s="353"/>
      <x:c r="G46" s="4"/>
      <x:c r="H46" s="4"/>
      <x:c r="I46" s="4"/>
      <x:c r="J46" s="4"/>
      <x:c r="K46" s="4"/>
      <x:c r="L46" s="4"/>
      <x:c r="M46" s="4"/>
    </x:row>
    <x:row r="47" ht="16" customHeight="1">
      <x:c r="A47" s="79"/>
      <x:c r="C47" s="322" t="str">
        <x:v>Fee analysis</x:v>
      </x:c>
      <x:c r="D47" s="345"/>
      <x:c r="E47" s="354"/>
      <x:c r="F47" s="358"/>
      <x:c r="G47" s="4"/>
      <x:c r="H47" s="4"/>
      <x:c r="I47" s="4"/>
      <x:c r="J47" s="4"/>
      <x:c r="K47" s="4"/>
      <x:c r="L47" s="4"/>
      <x:c r="M47" s="4"/>
    </x:row>
    <x:row r="48" ht="16" customHeight="1">
      <x:c r="A48" s="79"/>
      <x:c r="C48" s="327" t="str">
        <x:v>Metric</x:v>
      </x:c>
      <x:c r="D48" s="340" t="str">
        <x:v>Amount / rate</x:v>
      </x:c>
      <x:c r="E48" s="350" t="str">
        <x:v>Basis</x:v>
      </x:c>
      <x:c r="F48" s="350" t="str">
        <x:v>Source / status</x:v>
      </x:c>
      <x:c r="G48" s="4"/>
      <x:c r="H48" s="4"/>
      <x:c r="I48" s="4"/>
      <x:c r="J48" s="4"/>
      <x:c r="K48" s="4"/>
      <x:c r="L48" s="4"/>
      <x:c r="M48" s="4"/>
    </x:row>
    <x:row r="49" ht="16" customHeight="1">
      <x:c r="A49" s="79"/>
      <x:c r="C49" t="str">
        <x:v>Equity purchase price</x:v>
      </x:c>
      <x:c r="D49" s="342" t="n">
        <x:f>D8</x:f>
        <x:v>8070.6527</x:v>
      </x:c>
      <x:c r="E49" s="353" t="str">
        <x:v>Equity purchase price</x:v>
      </x:c>
      <x:c r="F49" s="353" t="str">
        <x:v>Transaction Valuation</x:v>
      </x:c>
      <x:c r="G49" s="4"/>
      <x:c r="H49" s="4"/>
      <x:c r="I49" s="4"/>
      <x:c r="J49" s="4"/>
      <x:c r="K49" s="4"/>
      <x:c r="L49" s="4"/>
      <x:c r="M49" s="4"/>
    </x:row>
    <x:row r="50" ht="16" customHeight="1">
      <x:c r="A50" s="79"/>
      <x:c r="C50" t="str">
        <x:v>Transaction fee rate</x:v>
      </x:c>
      <x:c r="D50" s="347" t="n">
        <x:f>'Transaction Assumptions'!D20</x:f>
        <x:v>0.015</x:v>
      </x:c>
      <x:c r="E50" s="353" t="str">
        <x:v>Equity purchase price</x:v>
      </x:c>
      <x:c r="F50" s="353" t="str">
        <x:v>A10</x:v>
      </x:c>
      <x:c r="G50" s="4"/>
      <x:c r="H50" s="4"/>
      <x:c r="I50" s="4"/>
      <x:c r="J50" s="4"/>
      <x:c r="K50" s="4"/>
      <x:c r="L50" s="4"/>
      <x:c r="M50" s="4"/>
    </x:row>
    <x:row r="51" ht="16" customHeight="1">
      <x:c r="A51" s="79"/>
      <x:c r="C51" t="str">
        <x:v>Transaction fees</x:v>
      </x:c>
      <x:c r="D51" s="342" t="n">
        <x:f>D10</x:f>
        <x:v>121.05979049999999</x:v>
      </x:c>
      <x:c r="E51" s="353" t="str">
        <x:v>Equity purchase price</x:v>
      </x:c>
      <x:c r="F51" s="353" t="str">
        <x:v>Calculated</x:v>
      </x:c>
      <x:c r="G51" s="4"/>
      <x:c r="H51" s="4"/>
      <x:c r="I51" s="4"/>
      <x:c r="J51" s="4"/>
      <x:c r="K51" s="4"/>
      <x:c r="L51" s="4"/>
      <x:c r="M51" s="4"/>
    </x:row>
    <x:row r="52" ht="16" customHeight="1">
      <x:c r="A52" s="79"/>
      <x:c r="C52" t="str">
        <x:v>New acquisition debt</x:v>
      </x:c>
      <x:c r="D52" s="342" t="n">
        <x:f>D19</x:f>
        <x:v>8509.075939746834</x:v>
      </x:c>
      <x:c r="E52" s="353" t="str">
        <x:v>Debt raised</x:v>
      </x:c>
      <x:c r="F52" s="353" t="str">
        <x:v>Calculated plug</x:v>
      </x:c>
      <x:c r="G52" s="4"/>
      <x:c r="H52" s="4"/>
      <x:c r="I52" s="4"/>
      <x:c r="J52" s="4"/>
      <x:c r="K52" s="4"/>
      <x:c r="L52" s="4"/>
      <x:c r="M52" s="4"/>
    </x:row>
    <x:row r="53" ht="16" customHeight="1">
      <x:c r="A53" s="79"/>
      <x:c r="C53" t="str">
        <x:v>Financing fee rate</x:v>
      </x:c>
      <x:c r="D53" s="347" t="n">
        <x:f>'Transaction Assumptions'!D21</x:f>
        <x:v>0.0125</x:v>
      </x:c>
      <x:c r="E53" s="353" t="str">
        <x:v>Debt raised</x:v>
      </x:c>
      <x:c r="F53" s="353" t="str">
        <x:v>A11</x:v>
      </x:c>
      <x:c r="G53" s="4"/>
      <x:c r="H53" s="4"/>
      <x:c r="I53" s="4"/>
      <x:c r="J53" s="4"/>
      <x:c r="K53" s="4"/>
      <x:c r="L53" s="4"/>
      <x:c r="M53" s="4"/>
    </x:row>
    <x:row r="54" ht="16" customHeight="1">
      <x:c r="A54" s="79"/>
      <x:c r="C54" t="str">
        <x:v>Financing fees</x:v>
      </x:c>
      <x:c r="D54" s="342" t="n">
        <x:f>D11</x:f>
        <x:v>106.36344924683543</x:v>
      </x:c>
      <x:c r="E54" s="353" t="str">
        <x:v>Debt raised</x:v>
      </x:c>
      <x:c r="F54" s="353" t="str">
        <x:v>Calculated</x:v>
      </x:c>
      <x:c r="G54" s="4"/>
      <x:c r="H54" s="4"/>
      <x:c r="I54" s="4"/>
      <x:c r="J54" s="4"/>
      <x:c r="K54" s="4"/>
      <x:c r="L54" s="4"/>
      <x:c r="M54" s="4"/>
    </x:row>
    <x:row r="55" ht="16" customHeight="1">
      <x:c r="A55" s="79"/>
      <x:c r="C55" s="287" t="str">
        <x:v>Total fees</x:v>
      </x:c>
      <x:c r="D55" s="343" t="n">
        <x:f>SUM(D51,D54)</x:f>
        <x:v>227.4232397468354</x:v>
      </x:c>
      <x:c r="E55" s="356" t="str">
        <x:v>Transaction + financing</x:v>
      </x:c>
      <x:c r="F55" s="356" t="str">
        <x:v>Calculated</x:v>
      </x:c>
      <x:c r="G55" s="4"/>
      <x:c r="H55" s="4"/>
      <x:c r="I55" s="4"/>
      <x:c r="J55" s="4"/>
      <x:c r="K55" s="4"/>
      <x:c r="L55" s="4"/>
      <x:c r="M55" s="4"/>
    </x:row>
    <x:row r="56" ht="16" customHeight="1">
      <x:c r="A56" s="79"/>
      <x:c r="C56"/>
      <x:c r="D56" s="344"/>
      <x:c r="E56" s="353"/>
      <x:c r="F56" s="353"/>
      <x:c r="G56" s="4"/>
      <x:c r="H56" s="4"/>
      <x:c r="I56" s="4"/>
      <x:c r="J56" s="4"/>
      <x:c r="K56" s="4"/>
      <x:c r="L56" s="4"/>
      <x:c r="M56" s="4"/>
    </x:row>
    <x:row r="57" ht="16" customHeight="1">
      <x:c r="A57" s="79"/>
      <x:c r="C57"/>
      <x:c r="D57" s="344"/>
      <x:c r="E57" s="353"/>
      <x:c r="F57" s="353"/>
      <x:c r="G57" s="4"/>
      <x:c r="H57" s="4"/>
      <x:c r="I57" s="4"/>
      <x:c r="J57" s="4"/>
      <x:c r="K57" s="4"/>
      <x:c r="L57" s="4"/>
      <x:c r="M57" s="4"/>
    </x:row>
    <x:row r="58" ht="16" customHeight="1">
      <x:c r="A58" s="79"/>
      <x:c r="C58" s="298" t="str">
        <x:v>Mechanics</x:v>
      </x:c>
      <x:c r="D58" s="349" t="str">
        <x:v>New debt is the balancing source and is grossed up for the financing fee, avoiding a circular reference.</x:v>
      </x:c>
      <x:c r="E58" s="357"/>
      <x:c r="F58" s="357"/>
      <x:c r="G58" s="4"/>
      <x:c r="H58" s="4"/>
      <x:c r="I58" s="4"/>
      <x:c r="J58" s="4"/>
      <x:c r="K58" s="4"/>
      <x:c r="L58" s="4"/>
      <x:c r="M58" s="4"/>
    </x:row>
    <x:row r="59" ht="16" customHeight="1">
      <x:c r="A59" s="79"/>
      <x:c r="C59" s="298" t="str">
        <x:v>Treatment</x:v>
      </x:c>
      <x:c r="D59" s="349" t="str">
        <x:v>GXO cash is treated as an acquired funding source; GXO debt is refinanced at closing.</x:v>
      </x:c>
      <x:c r="E59" s="357"/>
      <x:c r="F59" s="357"/>
      <x:c r="G59" s="4"/>
      <x:c r="H59" s="4"/>
      <x:c r="I59" s="4"/>
      <x:c r="J59" s="4"/>
      <x:c r="K59" s="4"/>
      <x:c r="L59" s="4"/>
      <x:c r="M59" s="4"/>
    </x:row>
    <x:row r="60" ht="16" customHeight="1">
      <x:c r="A60" s="79"/>
      <x:c r="C60" s="298" t="str">
        <x:v>Flexibility</x:v>
      </x:c>
      <x:c r="D60" s="349" t="str">
        <x:v>The stock-consideration assumption can be changed from 0% to model a mixed cash/stock transaction.</x:v>
      </x:c>
      <x:c r="E60" s="357"/>
      <x:c r="F60" s="357"/>
      <x:c r="G60" s="4"/>
      <x:c r="H60" s="4"/>
      <x:c r="I60" s="4"/>
      <x:c r="J60" s="4"/>
      <x:c r="K60" s="4"/>
      <x:c r="L60" s="4"/>
      <x:c r="M60" s="4"/>
    </x:row>
    <x:row r="61">
      <x:c r="A61" s="79"/>
      <x:c r="C61"/>
      <x:c r="D61"/>
      <x:c r="E61"/>
      <x:c r="F61"/>
      <x:c r="G61" s="4"/>
      <x:c r="H61" s="4"/>
      <x:c r="I61" s="4"/>
      <x:c r="J61" s="4"/>
      <x:c r="K61" s="4"/>
      <x:c r="L61" s="4"/>
      <x:c r="M61" s="4"/>
    </x:row>
    <x:row r="62">
      <x:c r="A62" s="79"/>
      <x:c r="C62"/>
      <x:c r="D62"/>
      <x:c r="E62"/>
      <x:c r="F62"/>
      <x:c r="G62" s="4"/>
      <x:c r="H62" s="4"/>
      <x:c r="I62" s="4"/>
      <x:c r="J62" s="4"/>
      <x:c r="K62" s="4"/>
      <x:c r="L62" s="4"/>
      <x:c r="M62" s="4"/>
    </x:row>
    <x:row r="63">
      <x:c r="A63" s="79"/>
      <x:c r="C63"/>
      <x:c r="D63"/>
      <x:c r="E63"/>
      <x:c r="F63"/>
      <x:c r="G63" s="4"/>
      <x:c r="H63" s="4"/>
      <x:c r="I63" s="4"/>
      <x:c r="J63" s="4"/>
      <x:c r="K63" s="4"/>
      <x:c r="L63" s="4"/>
      <x:c r="M63" s="4"/>
    </x:row>
    <x:row r="64">
      <x:c r="A64" s="79"/>
      <x:c r="C64"/>
      <x:c r="D64"/>
      <x:c r="E64"/>
      <x:c r="F64"/>
      <x:c r="G64" s="4"/>
      <x:c r="H64" s="4"/>
      <x:c r="I64" s="4"/>
      <x:c r="J64" s="4"/>
      <x:c r="K64" s="4"/>
      <x:c r="L64" s="4"/>
      <x:c r="M64" s="4"/>
    </x:row>
    <x:row r="65">
      <x:c r="A65" s="79"/>
      <x:c r="C65"/>
      <x:c r="D65"/>
      <x:c r="E65"/>
      <x:c r="F65"/>
      <x:c r="G65" s="4"/>
      <x:c r="H65" s="4"/>
      <x:c r="I65" s="4"/>
      <x:c r="J65" s="4"/>
      <x:c r="K65" s="4"/>
      <x:c r="L65" s="4"/>
      <x:c r="M65" s="4"/>
    </x:row>
    <x:row r="66">
      <x:c r="A66" s="79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</x:row>
    <x:row r="67">
      <x:c r="A67" s="79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</x:row>
    <x:row r="68">
      <x:c r="A68" s="79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</x:row>
    <x:row r="69">
      <x:c r="A69" s="79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</x:row>
    <x:row r="70">
      <x:c r="A70" s="79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</x:row>
    <x:row r="71">
      <x:c r="A71" s="79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</x:row>
    <x:row r="72">
      <x:c r="A72" s="79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</x:row>
    <x:row r="73">
      <x:c r="A73" s="79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</x:row>
    <x:row r="74">
      <x:c r="A74" s="79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</x:row>
    <x:row r="75">
      <x:c r="A75" s="79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</x:row>
    <x:row r="76">
      <x:c r="A76" s="79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</x:row>
    <x:row r="77">
      <x:c r="A77" s="79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</x:row>
    <x:row r="78">
      <x:c r="A78" s="79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</x:row>
    <x:row r="79">
      <x:c r="A79" s="79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</x:row>
    <x:row r="80">
      <x:c r="A80" s="79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</x:row>
    <x:row r="81">
      <x:c r="A81" s="79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</x:row>
    <x:row r="82">
      <x:c r="A82" s="79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</x:row>
    <x:row r="83">
      <x:c r="A83" s="79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>
      <x:c r="A84" s="79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</x:row>
    <x:row r="85">
      <x:c r="A85" s="79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</x:row>
    <x:row r="86">
      <x:c r="A86" s="79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</x:row>
    <x:row r="87">
      <x:c r="A87" s="79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</x:row>
    <x:row r="88">
      <x:c r="A88" s="79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</x:row>
    <x:row r="89">
      <x:c r="A89" s="79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</x:row>
    <x:row r="90">
      <x:c r="A90" s="79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</x:row>
    <x:row r="91">
      <x:c r="A91" s="79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>
      <x:c r="A92" s="79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>
      <x:c r="A93" s="79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79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>
      <x:c r="A95" s="79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>
      <x:c r="A96" s="79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79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79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79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79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Acquisition financing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Acquisition debt drawdown, interest expense and repayment schedule | USD in millions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372" t="str">
        <x:v>Acquisition debt schedule</x:v>
      </x:c>
      <x:c r="D6" s="373"/>
      <x:c r="E6" s="373"/>
      <x:c r="F6" s="373"/>
      <x:c r="G6" s="374"/>
      <x:c r="H6" s="4"/>
      <x:c r="I6" s="4"/>
      <x:c r="J6" s="4"/>
      <x:c r="K6" s="4"/>
      <x:c r="L6" s="4"/>
      <x:c r="M6" s="4"/>
    </x:row>
    <x:row r="7">
      <x:c r="A7" s="79"/>
      <x:c r="C7"/>
      <x:c r="D7"/>
      <x:c r="E7"/>
      <x:c r="F7"/>
      <x:c r="G7"/>
      <x:c r="H7" s="4"/>
      <x:c r="I7" s="4"/>
      <x:c r="J7" s="4"/>
      <x:c r="K7" s="4"/>
      <x:c r="L7" s="4"/>
      <x:c r="M7" s="4"/>
    </x:row>
    <x:row r="8">
      <x:c r="A8" s="79"/>
      <x:c r="C8" s="375" t="str">
        <x:v>Metric</x:v>
      </x:c>
      <x:c r="D8" s="375" t="str">
        <x:v>At close</x:v>
      </x:c>
      <x:c r="E8" s="375" t="str">
        <x:v>FY:26E</x:v>
      </x:c>
      <x:c r="F8" s="375" t="str">
        <x:v>FY:27E</x:v>
      </x:c>
      <x:c r="G8" s="375" t="str">
        <x:v>FY:28E</x:v>
      </x:c>
      <x:c r="H8" s="4"/>
      <x:c r="I8" s="4"/>
      <x:c r="J8" s="4"/>
      <x:c r="K8" s="4"/>
      <x:c r="L8" s="4"/>
      <x:c r="M8" s="4"/>
    </x:row>
    <x:row r="9">
      <x:c r="A9" s="79"/>
      <x:c r="C9" t="str">
        <x:v>Opening acquisition debt</x:v>
      </x:c>
      <x:c r="D9" s="328" t="n">
        <x:v>0</x:v>
      </x:c>
      <x:c r="E9" s="376" t="n">
        <x:f>D13</x:f>
        <x:v>8509.075939746834</x:v>
      </x:c>
      <x:c r="F9" s="376" t="n">
        <x:f>E13</x:f>
        <x:v>8082.035998400034</x:v>
      </x:c>
      <x:c r="G9" s="376" t="n">
        <x:f>F13</x:f>
        <x:v>7553.401042294824</x:v>
      </x:c>
      <x:c r="H9" s="4"/>
      <x:c r="I9" s="4"/>
      <x:c r="J9" s="4"/>
      <x:c r="K9" s="4"/>
      <x:c r="L9" s="4"/>
      <x:c r="M9" s="4"/>
    </x:row>
    <x:row r="10">
      <x:c r="A10" s="79"/>
      <x:c r="C10" t="str">
        <x:v>New acquisition debt</x:v>
      </x:c>
      <x:c r="D10" s="329" t="n">
        <x:f>'Sources &amp; Uses'!D19</x:f>
        <x:v>8509.075939746834</x:v>
      </x:c>
      <x:c r="E10" s="376" t="n">
        <x:v>0</x:v>
      </x:c>
      <x:c r="F10" s="376" t="n">
        <x:v>0</x:v>
      </x:c>
      <x:c r="G10" s="376" t="n">
        <x:v>0</x:v>
      </x:c>
      <x:c r="H10" s="4"/>
      <x:c r="I10" s="4"/>
      <x:c r="J10" s="4"/>
      <x:c r="K10" s="4"/>
      <x:c r="L10" s="4"/>
      <x:c r="M10" s="4"/>
    </x:row>
    <x:row r="11">
      <x:c r="A11" s="79"/>
      <x:c r="C11" t="str">
        <x:v>Mandatory repayment</x:v>
      </x:c>
      <x:c r="D11" s="328" t="n">
        <x:v>0</x:v>
      </x:c>
      <x:c r="E11" s="376" t="n">
        <x:f>-MIN(E9,'Sources &amp; Uses'!$D$19*'Transaction Assumptions'!$D$25)</x:f>
        <x:v>-425.4537969873417</x:v>
      </x:c>
      <x:c r="F11" s="376" t="n">
        <x:f>-MIN(F9,'Sources &amp; Uses'!$D$19*'Transaction Assumptions'!$D$25)</x:f>
        <x:v>-425.4537969873417</x:v>
      </x:c>
      <x:c r="G11" s="376" t="n">
        <x:f>-MIN(G9,'Sources &amp; Uses'!$D$19*'Transaction Assumptions'!$D$25)</x:f>
        <x:v>-425.4537969873417</x:v>
      </x:c>
      <x:c r="H11" s="4"/>
      <x:c r="I11" s="4"/>
      <x:c r="J11" s="4"/>
      <x:c r="K11" s="4"/>
      <x:c r="L11" s="4"/>
      <x:c r="M11" s="4"/>
    </x:row>
    <x:row r="12">
      <x:c r="A12" s="79"/>
      <x:c r="C12" t="str">
        <x:v>Optional repayment / cash sweep</x:v>
      </x:c>
      <x:c r="D12" s="328" t="n">
        <x:v>0</x:v>
      </x:c>
      <x:c r="E12" s="376" t="n">
        <x:f>-MIN(MAX(0,E31*E32),E9+E11)</x:f>
        <x:v>-1.5861443594579896</x:v>
      </x:c>
      <x:c r="F12" s="376" t="n">
        <x:f>-MIN(MAX(0,F31*F32),F9+F11)</x:f>
        <x:v>-103.18115911786839</x:v>
      </x:c>
      <x:c r="G12" s="376" t="n">
        <x:f>-MIN(MAX(0,G31*G32),G9+G11)</x:f>
        <x:v>-203.32666385719813</x:v>
      </x:c>
      <x:c r="H12" s="4"/>
      <x:c r="I12" s="4"/>
      <x:c r="J12" s="4"/>
      <x:c r="K12" s="4"/>
      <x:c r="L12" s="4"/>
      <x:c r="M12" s="4"/>
    </x:row>
    <x:row r="13">
      <x:c r="A13" s="79"/>
      <x:c r="C13" s="287" t="str">
        <x:v>Closing acquisition debt</x:v>
      </x:c>
      <x:c r="D13" s="332" t="n">
        <x:f>SUM(D9:D12)</x:f>
        <x:v>8509.075939746834</x:v>
      </x:c>
      <x:c r="E13" s="377" t="n">
        <x:f>SUM(E9:E12)</x:f>
        <x:v>8082.035998400034</x:v>
      </x:c>
      <x:c r="F13" s="377" t="n">
        <x:f>SUM(F9:F12)</x:f>
        <x:v>7553.401042294824</x:v>
      </x:c>
      <x:c r="G13" s="377" t="n">
        <x:f>SUM(G9:G12)</x:f>
        <x:v>6924.620581450285</x:v>
      </x:c>
      <x:c r="H13" s="4"/>
      <x:c r="I13" s="4"/>
      <x:c r="J13" s="4"/>
      <x:c r="K13" s="4"/>
      <x:c r="L13" s="4"/>
      <x:c r="M13" s="4"/>
    </x:row>
    <x:row r="14">
      <x:c r="A14" s="79"/>
      <x:c r="C14" t="str">
        <x:v>Average debt for interest</x:v>
      </x:c>
      <x:c r="D14" s="328"/>
      <x:c r="E14" s="376" t="n">
        <x:f>E9+E11/2</x:f>
        <x:v>8296.349041253163</x:v>
      </x:c>
      <x:c r="F14" s="376" t="n">
        <x:f>F9+F11/2</x:f>
        <x:v>7869.309099906363</x:v>
      </x:c>
      <x:c r="G14" s="376" t="n">
        <x:f>G9+G11/2</x:f>
        <x:v>7340.674143801153</x:v>
      </x:c>
      <x:c r="H14" s="4"/>
      <x:c r="I14" s="4"/>
      <x:c r="J14" s="4"/>
      <x:c r="K14" s="4"/>
      <x:c r="L14" s="4"/>
      <x:c r="M14" s="4"/>
    </x:row>
    <x:row r="15">
      <x:c r="A15" s="79"/>
      <x:c r="C15" t="str">
        <x:v>Cash interest expense</x:v>
      </x:c>
      <x:c r="D15" s="328"/>
      <x:c r="E15" s="376" t="n">
        <x:f>E61</x:f>
        <x:v>477.571887118291</x:v>
      </x:c>
      <x:c r="F15" s="376" t="n">
        <x:f>F61</x:f>
        <x:v>454.0767596224197</x:v>
      </x:c>
      <x:c r="G15" s="376" t="n">
        <x:f>G61</x:f>
        <x:v>424.4859312410438</x:v>
      </x:c>
      <x:c r="H15" s="4"/>
      <x:c r="I15" s="4"/>
      <x:c r="J15" s="4"/>
      <x:c r="K15" s="4"/>
      <x:c r="L15" s="4"/>
      <x:c r="M15" s="4"/>
    </x:row>
    <x:row r="16">
      <x:c r="A16" s="79"/>
      <x:c r="C16" t="str">
        <x:v>Financing-fee amortisation</x:v>
      </x:c>
      <x:c r="D16" s="328"/>
      <x:c r="E16" s="376" t="n">
        <x:f>'Sources &amp; Uses'!$D$11/'Transaction Assumptions'!$D$54</x:f>
        <x:v>21.272689849367087</x:v>
      </x:c>
      <x:c r="F16" s="376" t="n">
        <x:f>'Sources &amp; Uses'!$D$11/'Transaction Assumptions'!$D$54</x:f>
        <x:v>21.272689849367087</x:v>
      </x:c>
      <x:c r="G16" s="376" t="n">
        <x:f>'Sources &amp; Uses'!$D$11/'Transaction Assumptions'!$D$54</x:f>
        <x:v>21.272689849367087</x:v>
      </x:c>
      <x:c r="H16" s="4"/>
      <x:c r="I16" s="4"/>
      <x:c r="J16" s="4"/>
      <x:c r="K16" s="4"/>
      <x:c r="L16" s="4"/>
      <x:c r="M16" s="4"/>
    </x:row>
    <x:row r="17">
      <x:c r="A17" s="79"/>
      <x:c r="C17" t="str">
        <x:v>After-tax financing cost</x:v>
      </x:c>
      <x:c r="D17" s="328"/>
      <x:c r="E17" s="376" t="n">
        <x:f>(E15+E16)*(1-'Transaction Assumptions'!$D$24)</x:f>
        <x:v>384.1103242650967</x:v>
      </x:c>
      <x:c r="F17" s="376" t="n">
        <x:f>(F15+F16)*(1-'Transaction Assumptions'!$D$24)</x:f>
        <x:v>366.0190760932758</x:v>
      </x:c>
      <x:c r="G17" s="376" t="n">
        <x:f>(G15+G16)*(1-'Transaction Assumptions'!$D$24)</x:f>
        <x:v>343.2341382396164</x:v>
      </x:c>
      <x:c r="H17" s="4"/>
      <x:c r="I17" s="4"/>
      <x:c r="J17" s="4"/>
      <x:c r="K17" s="4"/>
      <x:c r="L17" s="4"/>
      <x:c r="M17" s="4"/>
    </x:row>
    <x:row r="18">
      <x:c r="A18" s="79"/>
      <x:c r="C18" t="str">
        <x:v>Closing debt / GXO EBITDA</x:v>
      </x:c>
      <x:c r="D18"/>
      <x:c r="E18" s="378" t="n">
        <x:f>E13/'Standalone Forecasts'!G30</x:f>
        <x:v>8.50561843311066</x:v>
      </x:c>
      <x:c r="F18" s="378" t="n">
        <x:f>F13/'Standalone Forecasts'!H30</x:f>
        <x:v>7.357480206481141</x:v>
      </x:c>
      <x:c r="G18" s="378" t="n">
        <x:f>G13/'Standalone Forecasts'!I30</x:f>
        <x:v>6.247823183722201</x:v>
      </x:c>
      <x:c r="H18" s="4"/>
      <x:c r="I18" s="4"/>
      <x:c r="J18" s="4"/>
      <x:c r="K18" s="4"/>
      <x:c r="L18" s="4"/>
      <x:c r="M18" s="4"/>
    </x:row>
    <x:row r="19">
      <x:c r="A19" s="79"/>
      <x:c r="C19"/>
      <x:c r="D19"/>
      <x:c r="E19"/>
      <x:c r="F19"/>
      <x:c r="G19"/>
      <x:c r="H19" s="4"/>
      <x:c r="I19" s="4"/>
      <x:c r="J19" s="4"/>
      <x:c r="K19" s="4"/>
      <x:c r="L19" s="4"/>
      <x:c r="M19" s="4"/>
    </x:row>
    <x:row r="20">
      <x:c r="A20" s="79"/>
      <x:c r="C20"/>
      <x:c r="D20"/>
      <x:c r="E20"/>
      <x:c r="F20"/>
      <x:c r="G20"/>
      <x:c r="H20" s="4"/>
      <x:c r="I20" s="4"/>
      <x:c r="J20" s="4"/>
      <x:c r="K20" s="4"/>
      <x:c r="L20" s="4"/>
      <x:c r="M20" s="4"/>
    </x:row>
    <x:row r="21">
      <x:c r="A21" s="79"/>
      <x:c r="C21" s="372" t="str">
        <x:v>Cash available for optional repayment</x:v>
      </x:c>
      <x:c r="D21" s="373"/>
      <x:c r="E21" s="373"/>
      <x:c r="F21" s="373"/>
      <x:c r="G21" s="374"/>
      <x:c r="H21" s="4"/>
      <x:c r="I21" s="4"/>
      <x:c r="J21" s="4"/>
      <x:c r="K21" s="4"/>
      <x:c r="L21" s="4"/>
      <x:c r="M21" s="4"/>
    </x:row>
    <x:row r="22">
      <x:c r="A22" s="79"/>
      <x:c r="C22"/>
      <x:c r="D22"/>
      <x:c r="E22"/>
      <x:c r="F22"/>
      <x:c r="G22"/>
      <x:c r="H22" s="4"/>
      <x:c r="I22" s="4"/>
      <x:c r="J22" s="4"/>
      <x:c r="K22" s="4"/>
      <x:c r="L22" s="4"/>
      <x:c r="M22" s="4"/>
    </x:row>
    <x:row r="23">
      <x:c r="A23" s="79"/>
      <x:c r="C23" s="375" t="str">
        <x:v>Metric</x:v>
      </x:c>
      <x:c r="D23" s="375" t="str">
        <x:v>At close</x:v>
      </x:c>
      <x:c r="E23" s="375" t="str">
        <x:v>FY:26E</x:v>
      </x:c>
      <x:c r="F23" s="375" t="str">
        <x:v>FY:27E</x:v>
      </x:c>
      <x:c r="G23" s="375" t="str">
        <x:v>FY:28E</x:v>
      </x:c>
      <x:c r="H23" s="4"/>
      <x:c r="I23" s="4"/>
      <x:c r="J23" s="4"/>
      <x:c r="K23" s="4"/>
      <x:c r="L23" s="4"/>
      <x:c r="M23" s="4"/>
    </x:row>
    <x:row r="24">
      <x:c r="A24" s="79"/>
      <x:c r="C24" t="str">
        <x:v>GXO adjusted EBITDA</x:v>
      </x:c>
      <x:c r="D24"/>
      <x:c r="E24" s="329" t="n">
        <x:f>'Standalone Forecasts'!G30</x:f>
        <x:v>950.1996899999999</x:v>
      </x:c>
      <x:c r="F24" s="329" t="n">
        <x:f>'Standalone Forecasts'!H30</x:f>
        <x:v>1026.6287954999998</x:v>
      </x:c>
      <x:c r="G24" s="329" t="n">
        <x:f>'Standalone Forecasts'!I30</x:f>
        <x:v>1108.325312325</x:v>
      </x:c>
      <x:c r="H24" s="4"/>
      <x:c r="I24" s="4"/>
      <x:c r="J24" s="4"/>
      <x:c r="K24" s="4"/>
      <x:c r="L24" s="4"/>
      <x:c r="M24" s="4"/>
    </x:row>
    <x:row r="25">
      <x:c r="A25" s="79"/>
      <x:c r="C25" t="str">
        <x:v>Cost synergies</x:v>
      </x:c>
      <x:c r="D25"/>
      <x:c r="E25" s="329" t="n">
        <x:f>'Transaction Assumptions'!D26*'Transaction Assumptions'!D27</x:f>
        <x:v>92.75</x:v>
      </x:c>
      <x:c r="F25" s="329" t="n">
        <x:f>'Transaction Assumptions'!D26*'Transaction Assumptions'!D28</x:f>
        <x:v>198.75</x:v>
      </x:c>
      <x:c r="G25" s="329" t="n">
        <x:f>'Transaction Assumptions'!D26*'Transaction Assumptions'!D29</x:f>
        <x:v>265</x:v>
      </x:c>
      <x:c r="H25" s="4"/>
      <x:c r="I25" s="4"/>
      <x:c r="J25" s="4"/>
      <x:c r="K25" s="4"/>
      <x:c r="L25" s="4"/>
      <x:c r="M25" s="4"/>
    </x:row>
    <x:row r="26">
      <x:c r="A26" s="79"/>
      <x:c r="C26" t="str">
        <x:v>EBITDA including synergies</x:v>
      </x:c>
      <x:c r="D26"/>
      <x:c r="E26" s="328" t="n">
        <x:f>SUM(E24:E25)</x:f>
        <x:v>1042.94969</x:v>
      </x:c>
      <x:c r="F26" s="328" t="n">
        <x:f>SUM(F24:F25)</x:f>
        <x:v>1225.3787954999998</x:v>
      </x:c>
      <x:c r="G26" s="328" t="n">
        <x:f>SUM(G24:G25)</x:f>
        <x:v>1373.325312325</x:v>
      </x:c>
      <x:c r="H26" s="4"/>
      <x:c r="I26" s="4"/>
      <x:c r="J26" s="4"/>
      <x:c r="K26" s="4"/>
      <x:c r="L26" s="4"/>
      <x:c r="M26" s="4"/>
    </x:row>
    <x:row r="27">
      <x:c r="A27" s="79"/>
      <x:c r="C27" t="str">
        <x:v>Less: capital expenditures</x:v>
      </x:c>
      <x:c r="D27"/>
      <x:c r="E27" s="328" t="n">
        <x:f>-'Standalone Forecasts'!G28*'Transaction Assumptions'!D53</x:f>
        <x:v>-344.27524999999997</x:v>
      </x:c>
      <x:c r="F27" s="328" t="n">
        <x:f>-'Standalone Forecasts'!H28*'Transaction Assumptions'!D53</x:f>
        <x:v>-361.4890125</x:v>
      </x:c>
      <x:c r="G27" s="328" t="n">
        <x:f>-'Standalone Forecasts'!I28*'Transaction Assumptions'!D53</x:f>
        <x:v>-379.563463125</x:v>
      </x:c>
      <x:c r="H27" s="4"/>
      <x:c r="I27" s="4"/>
      <x:c r="J27" s="4"/>
      <x:c r="K27" s="4"/>
      <x:c r="L27" s="4"/>
      <x:c r="M27" s="4"/>
    </x:row>
    <x:row r="28">
      <x:c r="A28" s="79"/>
      <x:c r="C28" t="str">
        <x:v>Less: cash taxes</x:v>
      </x:c>
      <x:c r="D28"/>
      <x:c r="E28" s="328" t="n">
        <x:f>-MAX(0,('Standalone Forecasts'!G33+E25-E15)*'Transaction Assumptions'!D24)</x:f>
        <x:v>-19.180264162793073</x:v>
      </x:c>
      <x:c r="F28" s="328" t="n">
        <x:f>-MAX(0,('Standalone Forecasts'!H33+F25-F15)*'Transaction Assumptions'!D24)</x:f>
        <x:v>-64.32570514184344</x:v>
      </x:c>
      <x:c r="G28" s="328" t="n">
        <x:f>-MAX(0,('Standalone Forecasts'!I33+G25-G15)*'Transaction Assumptions'!D24)</x:f>
        <x:v>-102.99759024455989</x:v>
      </x:c>
      <x:c r="H28" s="4"/>
      <x:c r="I28" s="4"/>
      <x:c r="J28" s="4"/>
      <x:c r="K28" s="4"/>
      <x:c r="L28" s="4"/>
      <x:c r="M28" s="4"/>
    </x:row>
    <x:row r="29">
      <x:c r="A29" s="79"/>
      <x:c r="C29" t="str">
        <x:v>Less: acquisition debt interest</x:v>
      </x:c>
      <x:c r="D29"/>
      <x:c r="E29" s="328" t="n">
        <x:f>-E15</x:f>
        <x:v>-477.571887118291</x:v>
      </x:c>
      <x:c r="F29" s="328" t="n">
        <x:f>-F15</x:f>
        <x:v>-454.0767596224197</x:v>
      </x:c>
      <x:c r="G29" s="328" t="n">
        <x:f>-G15</x:f>
        <x:v>-424.4859312410438</x:v>
      </x:c>
      <x:c r="H29" s="4"/>
      <x:c r="I29" s="4"/>
      <x:c r="J29" s="4"/>
      <x:c r="K29" s="4"/>
      <x:c r="L29" s="4"/>
      <x:c r="M29" s="4"/>
    </x:row>
    <x:row r="30">
      <x:c r="A30" s="79"/>
      <x:c r="C30" t="str">
        <x:v>Less: integration costs</x:v>
      </x:c>
      <x:c r="D30"/>
      <x:c r="E30" s="328" t="n">
        <x:f>-'Transaction Assumptions'!D26*'Transaction Assumptions'!D30*'Transaction Assumptions'!D55</x:f>
        <x:v>-198.75</x:v>
      </x:c>
      <x:c r="F30" s="328" t="n">
        <x:f>-'Transaction Assumptions'!D26*'Transaction Assumptions'!D30*'Transaction Assumptions'!D56</x:f>
        <x:v>-139.125</x:v>
      </x:c>
      <x:c r="G30" s="328" t="n">
        <x:f>-'Transaction Assumptions'!D26*'Transaction Assumptions'!D30*'Transaction Assumptions'!D57</x:f>
        <x:v>-59.625</x:v>
      </x:c>
      <x:c r="H30" s="4"/>
      <x:c r="I30" s="4"/>
      <x:c r="J30" s="4"/>
      <x:c r="K30" s="4"/>
      <x:c r="L30" s="4"/>
      <x:c r="M30" s="4"/>
    </x:row>
    <x:row r="31">
      <x:c r="A31" s="79"/>
      <x:c r="C31" s="287" t="str">
        <x:v>Excess cash flow before sweep</x:v>
      </x:c>
      <x:c r="D31" s="287"/>
      <x:c r="E31" s="332" t="n">
        <x:f>SUM(E26:E30)</x:f>
        <x:v>3.172288718915979</x:v>
      </x:c>
      <x:c r="F31" s="332" t="n">
        <x:f>SUM(F26:F30)</x:f>
        <x:v>206.36231823573678</x:v>
      </x:c>
      <x:c r="G31" s="332" t="n">
        <x:f>SUM(G26:G30)</x:f>
        <x:v>406.65332771439626</x:v>
      </x:c>
      <x:c r="H31" s="4"/>
      <x:c r="I31" s="4"/>
      <x:c r="J31" s="4"/>
      <x:c r="K31" s="4"/>
      <x:c r="L31" s="4"/>
      <x:c r="M31" s="4"/>
    </x:row>
    <x:row r="32">
      <x:c r="A32" s="79"/>
      <x:c r="C32" t="str">
        <x:v>Cash sweep percentage</x:v>
      </x:c>
      <x:c r="D32"/>
      <x:c r="E32" s="130" t="n">
        <x:f>'Transaction Assumptions'!D52</x:f>
        <x:v>0.5</x:v>
      </x:c>
      <x:c r="F32" s="130" t="n">
        <x:f>'Transaction Assumptions'!D52</x:f>
        <x:v>0.5</x:v>
      </x:c>
      <x:c r="G32" s="130" t="n">
        <x:f>'Transaction Assumptions'!D52</x:f>
        <x:v>0.5</x:v>
      </x:c>
      <x:c r="H32" s="4"/>
      <x:c r="I32" s="4"/>
      <x:c r="J32" s="4"/>
      <x:c r="K32" s="4"/>
      <x:c r="L32" s="4"/>
      <x:c r="M32" s="4"/>
    </x:row>
    <x:row r="33">
      <x:c r="A33" s="79"/>
      <x:c r="C33"/>
      <x:c r="D33"/>
      <x:c r="E33"/>
      <x:c r="F33"/>
      <x:c r="G33"/>
      <x:c r="H33" s="4"/>
      <x:c r="I33" s="4"/>
      <x:c r="J33" s="4"/>
      <x:c r="K33" s="4"/>
      <x:c r="L33" s="4"/>
      <x:c r="M33" s="4"/>
    </x:row>
    <x:row r="34">
      <x:c r="A34" s="79"/>
      <x:c r="C34"/>
      <x:c r="D34"/>
      <x:c r="E34"/>
      <x:c r="F34"/>
      <x:c r="G34"/>
      <x:c r="H34" s="4"/>
      <x:c r="I34" s="4"/>
      <x:c r="J34" s="4"/>
      <x:c r="K34" s="4"/>
      <x:c r="L34" s="4"/>
      <x:c r="M34" s="4"/>
    </x:row>
    <x:row r="35">
      <x:c r="A35" s="79"/>
      <x:c r="C35" s="372" t="str">
        <x:v>Debt tranche allocation and repayment priority</x:v>
      </x:c>
      <x:c r="D35" s="373"/>
      <x:c r="E35" s="373"/>
      <x:c r="F35" s="373"/>
      <x:c r="G35" s="374"/>
      <x:c r="H35" s="4"/>
      <x:c r="I35" s="4"/>
      <x:c r="J35" s="4"/>
      <x:c r="K35" s="4"/>
      <x:c r="L35" s="4"/>
      <x:c r="M35" s="4"/>
    </x:row>
    <x:row r="36">
      <x:c r="A36" s="79"/>
      <x:c r="C36"/>
      <x:c r="D36"/>
      <x:c r="E36"/>
      <x:c r="F36"/>
      <x:c r="G36"/>
      <x:c r="H36" s="4"/>
      <x:c r="I36" s="4"/>
      <x:c r="J36" s="4"/>
      <x:c r="K36" s="4"/>
      <x:c r="L36" s="4"/>
      <x:c r="M36" s="4"/>
    </x:row>
    <x:row r="37">
      <x:c r="A37" s="79"/>
      <x:c r="C37" s="375" t="str">
        <x:v>Tranche</x:v>
      </x:c>
      <x:c r="D37" s="375" t="str">
        <x:v>At close</x:v>
      </x:c>
      <x:c r="E37" s="375" t="str">
        <x:v>FY:26E</x:v>
      </x:c>
      <x:c r="F37" s="375" t="str">
        <x:v>FY:27E</x:v>
      </x:c>
      <x:c r="G37" s="375" t="str">
        <x:v>FY:28E</x:v>
      </x:c>
      <x:c r="H37" s="4"/>
      <x:c r="I37" s="4"/>
      <x:c r="J37" s="4"/>
      <x:c r="K37" s="4"/>
      <x:c r="L37" s="4"/>
      <x:c r="M37" s="4"/>
    </x:row>
    <x:row r="38">
      <x:c r="A38" s="79"/>
      <x:c r="C38" t="str">
        <x:v>Term loan A closing balance</x:v>
      </x:c>
      <x:c r="D38" s="329" t="n">
        <x:f>$D$13*'Transaction Assumptions'!D45</x:f>
        <x:v>5105.4455638481</x:v>
      </x:c>
      <x:c r="E38" s="328" t="n">
        <x:f>MAX(0,D38-ABS(E11)-MAX(0,ABS(E12)-D39))</x:f>
        <x:v>4679.991766860759</x:v>
      </x:c>
      <x:c r="F38" s="328" t="n">
        <x:f>MAX(0,E38-ABS(F11)-MAX(0,ABS(F12)-E39))</x:f>
        <x:v>4254.537969873417</x:v>
      </x:c>
      <x:c r="G38" s="328" t="n">
        <x:f>MAX(0,F38-ABS(G11)-MAX(0,ABS(G12)-F39))</x:f>
        <x:v>3829.084172886075</x:v>
      </x:c>
      <x:c r="H38" s="4"/>
      <x:c r="I38" s="4"/>
      <x:c r="J38" s="4"/>
      <x:c r="K38" s="4"/>
      <x:c r="L38" s="4"/>
      <x:c r="M38" s="4"/>
    </x:row>
    <x:row r="39">
      <x:c r="A39" s="79"/>
      <x:c r="C39" t="str">
        <x:v>Bridge loan closing balance</x:v>
      </x:c>
      <x:c r="D39" s="329" t="n">
        <x:f>$D$13*'Transaction Assumptions'!D46</x:f>
        <x:v>2127.2689849367084</x:v>
      </x:c>
      <x:c r="E39" s="328" t="n">
        <x:f>MAX(0,D39-ABS(E12))</x:f>
        <x:v>2125.6828405772503</x:v>
      </x:c>
      <x:c r="F39" s="328" t="n">
        <x:f>MAX(0,E39-ABS(F12))</x:f>
        <x:v>2022.5016814593819</x:v>
      </x:c>
      <x:c r="G39" s="328" t="n">
        <x:f>MAX(0,F39-ABS(G12))</x:f>
        <x:v>1819.1750176021837</x:v>
      </x:c>
      <x:c r="H39" s="4"/>
      <x:c r="I39" s="4"/>
      <x:c r="J39" s="4"/>
      <x:c r="K39" s="4"/>
      <x:c r="L39" s="4"/>
      <x:c r="M39" s="4"/>
    </x:row>
    <x:row r="40">
      <x:c r="A40" s="79"/>
      <x:c r="C40" t="str">
        <x:v>Senior notes closing balance</x:v>
      </x:c>
      <x:c r="D40" s="329" t="n">
        <x:f>$D$13*'Transaction Assumptions'!D47</x:f>
        <x:v>1276.361390962025</x:v>
      </x:c>
      <x:c r="E40" s="328" t="n">
        <x:f>MAX(0,D40-MAX(0,ABS(E12)-D39-MAX(0,D38-ABS(E11))))</x:f>
        <x:v>1276.361390962025</x:v>
      </x:c>
      <x:c r="F40" s="328" t="n">
        <x:f>MAX(0,E40-MAX(0,ABS(F12)-E39-MAX(0,E38-ABS(F11))))</x:f>
        <x:v>1276.361390962025</x:v>
      </x:c>
      <x:c r="G40" s="328" t="n">
        <x:f>MAX(0,F40-MAX(0,ABS(G12)-F39-MAX(0,F38-ABS(G11))))</x:f>
        <x:v>1276.361390962025</x:v>
      </x:c>
      <x:c r="H40" s="4"/>
      <x:c r="I40" s="4"/>
      <x:c r="J40" s="4"/>
      <x:c r="K40" s="4"/>
      <x:c r="L40" s="4"/>
      <x:c r="M40" s="4"/>
    </x:row>
    <x:row r="41">
      <x:c r="A41" s="79"/>
      <x:c r="C41" s="287" t="str">
        <x:v>Total closing acquisition debt</x:v>
      </x:c>
      <x:c r="D41" s="332" t="n">
        <x:f>SUM(D38:D40)</x:f>
        <x:v>8509.075939746834</x:v>
      </x:c>
      <x:c r="E41" s="332" t="n">
        <x:f>SUM(E38:E40)</x:f>
        <x:v>8082.035998400034</x:v>
      </x:c>
      <x:c r="F41" s="332" t="n">
        <x:f>SUM(F38:F40)</x:f>
        <x:v>7553.401042294824</x:v>
      </x:c>
      <x:c r="G41" s="332" t="n">
        <x:f>SUM(G38:G40)</x:f>
        <x:v>6924.620581450285</x:v>
      </x:c>
      <x:c r="H41" s="4"/>
      <x:c r="I41" s="4"/>
      <x:c r="J41" s="4"/>
      <x:c r="K41" s="4"/>
      <x:c r="L41" s="4"/>
      <x:c r="M41" s="4"/>
    </x:row>
    <x:row r="42">
      <x:c r="A42" s="79"/>
      <x:c r="C42" t="str">
        <x:v>Weighted average cash interest rate</x:v>
      </x:c>
      <x:c r="D42" s="72" t="n">
        <x:f>SUMPRODUCT(D38:D40,'Transaction Assumptions'!D48:D50)/D41</x:f>
        <x:v>0.057499999999999996</x:v>
      </x:c>
      <x:c r="E42" s="130" t="n">
        <x:f>E15/E14</x:f>
        <x:v>0.057564102564102555</x:v>
      </x:c>
      <x:c r="F42" s="130" t="n">
        <x:f>F15/F14</x:f>
        <x:v>0.057702239657586044</x:v>
      </x:c>
      <x:c r="G42" s="130" t="n">
        <x:f>G15/G14</x:f>
        <x:v>0.05782655964908914</x:v>
      </x:c>
      <x:c r="H42" s="4"/>
      <x:c r="I42" s="4"/>
      <x:c r="J42" s="4"/>
      <x:c r="K42" s="4"/>
      <x:c r="L42" s="4"/>
      <x:c r="M42" s="4"/>
    </x:row>
    <x:row r="43">
      <x:c r="A43" s="79"/>
      <x:c r="C43"/>
      <x:c r="D43"/>
      <x:c r="E43"/>
      <x:c r="F43"/>
      <x:c r="G43"/>
      <x:c r="H43" s="4"/>
      <x:c r="I43" s="4"/>
      <x:c r="J43" s="4"/>
      <x:c r="K43" s="4"/>
      <x:c r="L43" s="4"/>
      <x:c r="M43" s="4"/>
    </x:row>
    <x:row r="44">
      <x:c r="A44" s="79"/>
      <x:c r="C44"/>
      <x:c r="D44"/>
      <x:c r="E44"/>
      <x:c r="F44"/>
      <x:c r="G44"/>
      <x:c r="H44" s="4"/>
      <x:c r="I44" s="4"/>
      <x:c r="J44" s="4"/>
      <x:c r="K44" s="4"/>
      <x:c r="L44" s="4"/>
      <x:c r="M44" s="4"/>
    </x:row>
    <x:row r="45">
      <x:c r="A45" s="79"/>
      <x:c r="C45" s="372" t="str">
        <x:v>Repayment allocation by tranche</x:v>
      </x:c>
      <x:c r="D45" s="373"/>
      <x:c r="E45" s="373"/>
      <x:c r="F45" s="373"/>
      <x:c r="G45" s="374"/>
      <x:c r="H45" s="4"/>
      <x:c r="I45" s="4"/>
      <x:c r="J45" s="4"/>
      <x:c r="K45" s="4"/>
      <x:c r="L45" s="4"/>
      <x:c r="M45" s="4"/>
    </x:row>
    <x:row r="46">
      <x:c r="A46" s="79"/>
      <x:c r="C46"/>
      <x:c r="D46"/>
      <x:c r="E46"/>
      <x:c r="F46"/>
      <x:c r="G46"/>
      <x:c r="H46" s="4"/>
      <x:c r="I46" s="4"/>
      <x:c r="J46" s="4"/>
      <x:c r="K46" s="4"/>
      <x:c r="L46" s="4"/>
      <x:c r="M46" s="4"/>
    </x:row>
    <x:row r="47">
      <x:c r="A47" s="79"/>
      <x:c r="C47" s="375" t="str">
        <x:v>Metric</x:v>
      </x:c>
      <x:c r="D47" s="375" t="str">
        <x:v>At close</x:v>
      </x:c>
      <x:c r="E47" s="375" t="str">
        <x:v>FY:26E</x:v>
      </x:c>
      <x:c r="F47" s="375" t="str">
        <x:v>FY:27E</x:v>
      </x:c>
      <x:c r="G47" s="375" t="str">
        <x:v>FY:28E</x:v>
      </x:c>
      <x:c r="H47" s="4"/>
      <x:c r="I47" s="4"/>
      <x:c r="J47" s="4"/>
      <x:c r="K47" s="4"/>
      <x:c r="L47" s="4"/>
      <x:c r="M47" s="4"/>
    </x:row>
    <x:row r="48">
      <x:c r="A48" s="79"/>
      <x:c r="C48" t="str">
        <x:v>Term loan A opening balance</x:v>
      </x:c>
      <x:c r="D48"/>
      <x:c r="E48" s="328" t="n">
        <x:f>D38</x:f>
        <x:v>5105.4455638481</x:v>
      </x:c>
      <x:c r="F48" s="328" t="n">
        <x:f>E38</x:f>
        <x:v>4679.991766860759</x:v>
      </x:c>
      <x:c r="G48" s="328" t="n">
        <x:f>F38</x:f>
        <x:v>4254.537969873417</x:v>
      </x:c>
      <x:c r="H48" s="4"/>
      <x:c r="I48" s="4"/>
      <x:c r="J48" s="4"/>
      <x:c r="K48" s="4"/>
      <x:c r="L48" s="4"/>
      <x:c r="M48" s="4"/>
    </x:row>
    <x:row r="49">
      <x:c r="A49" s="79"/>
      <x:c r="C49" t="str">
        <x:v>Term loan A mandatory repayment</x:v>
      </x:c>
      <x:c r="D49"/>
      <x:c r="E49" s="328" t="n">
        <x:f>-MIN(E48,ABS(E11))</x:f>
        <x:v>-425.4537969873417</x:v>
      </x:c>
      <x:c r="F49" s="328" t="n">
        <x:f>-MIN(F48,ABS(F11))</x:f>
        <x:v>-425.4537969873417</x:v>
      </x:c>
      <x:c r="G49" s="328" t="n">
        <x:f>-MIN(G48,ABS(G11))</x:f>
        <x:v>-425.4537969873417</x:v>
      </x:c>
      <x:c r="H49" s="4"/>
      <x:c r="I49" s="4"/>
      <x:c r="J49" s="4"/>
      <x:c r="K49" s="4"/>
      <x:c r="L49" s="4"/>
      <x:c r="M49" s="4"/>
    </x:row>
    <x:row r="50">
      <x:c r="A50" s="79"/>
      <x:c r="C50" t="str">
        <x:v>Term loan A optional repayment</x:v>
      </x:c>
      <x:c r="D50"/>
      <x:c r="E50" s="328" t="n">
        <x:f>-MIN(MAX(0,ABS(E12)-ABS(E53)),E48+E49)</x:f>
        <x:v>0</x:v>
      </x:c>
      <x:c r="F50" s="328" t="n">
        <x:f>-MIN(MAX(0,ABS(F12)-ABS(F53)),F48+F49)</x:f>
        <x:v>0</x:v>
      </x:c>
      <x:c r="G50" s="328" t="n">
        <x:f>-MIN(MAX(0,ABS(G12)-ABS(G53)),G48+G49)</x:f>
        <x:v>0</x:v>
      </x:c>
      <x:c r="H50" s="4"/>
      <x:c r="I50" s="4"/>
      <x:c r="J50" s="4"/>
      <x:c r="K50" s="4"/>
      <x:c r="L50" s="4"/>
      <x:c r="M50" s="4"/>
    </x:row>
    <x:row r="51">
      <x:c r="A51" s="79"/>
      <x:c r="C51" s="287" t="str">
        <x:v>Term loan A closing balance</x:v>
      </x:c>
      <x:c r="D51" s="287"/>
      <x:c r="E51" s="332" t="n">
        <x:f>SUM(E48:E50)</x:f>
        <x:v>4679.991766860759</x:v>
      </x:c>
      <x:c r="F51" s="332" t="n">
        <x:f>SUM(F48:F50)</x:f>
        <x:v>4254.537969873417</x:v>
      </x:c>
      <x:c r="G51" s="332" t="n">
        <x:f>SUM(G48:G50)</x:f>
        <x:v>3829.084172886075</x:v>
      </x:c>
      <x:c r="H51" s="4"/>
      <x:c r="I51" s="4"/>
      <x:c r="J51" s="4"/>
      <x:c r="K51" s="4"/>
      <x:c r="L51" s="4"/>
      <x:c r="M51" s="4"/>
    </x:row>
    <x:row r="52">
      <x:c r="A52" s="79"/>
      <x:c r="C52" t="str">
        <x:v>Bridge loan opening balance</x:v>
      </x:c>
      <x:c r="D52"/>
      <x:c r="E52" s="328" t="n">
        <x:f>D39</x:f>
        <x:v>2127.2689849367084</x:v>
      </x:c>
      <x:c r="F52" s="328" t="n">
        <x:f>E39</x:f>
        <x:v>2125.6828405772503</x:v>
      </x:c>
      <x:c r="G52" s="328" t="n">
        <x:f>F39</x:f>
        <x:v>2022.5016814593819</x:v>
      </x:c>
      <x:c r="H52" s="4"/>
      <x:c r="I52" s="4"/>
      <x:c r="J52" s="4"/>
      <x:c r="K52" s="4"/>
      <x:c r="L52" s="4"/>
      <x:c r="M52" s="4"/>
    </x:row>
    <x:row r="53">
      <x:c r="A53" s="79"/>
      <x:c r="C53" t="str">
        <x:v>Bridge loan optional repayment</x:v>
      </x:c>
      <x:c r="D53"/>
      <x:c r="E53" s="328" t="n">
        <x:f>-MIN(E52,ABS(E12))</x:f>
        <x:v>-1.5861443594579896</x:v>
      </x:c>
      <x:c r="F53" s="328" t="n">
        <x:f>-MIN(F52,ABS(F12))</x:f>
        <x:v>-103.18115911786839</x:v>
      </x:c>
      <x:c r="G53" s="328" t="n">
        <x:f>-MIN(G52,ABS(G12))</x:f>
        <x:v>-203.32666385719813</x:v>
      </x:c>
      <x:c r="H53" s="4"/>
      <x:c r="I53" s="4"/>
      <x:c r="J53" s="4"/>
      <x:c r="K53" s="4"/>
      <x:c r="L53" s="4"/>
      <x:c r="M53" s="4"/>
    </x:row>
    <x:row r="54">
      <x:c r="A54" s="79"/>
      <x:c r="C54" s="287" t="str">
        <x:v>Bridge loan closing balance</x:v>
      </x:c>
      <x:c r="D54" s="287"/>
      <x:c r="E54" s="332" t="n">
        <x:f>SUM(E52:E53)</x:f>
        <x:v>2125.6828405772503</x:v>
      </x:c>
      <x:c r="F54" s="332" t="n">
        <x:f>SUM(F52:F53)</x:f>
        <x:v>2022.5016814593819</x:v>
      </x:c>
      <x:c r="G54" s="332" t="n">
        <x:f>SUM(G52:G53)</x:f>
        <x:v>1819.1750176021837</x:v>
      </x:c>
      <x:c r="H54" s="4"/>
      <x:c r="I54" s="4"/>
      <x:c r="J54" s="4"/>
      <x:c r="K54" s="4"/>
      <x:c r="L54" s="4"/>
      <x:c r="M54" s="4"/>
    </x:row>
    <x:row r="55">
      <x:c r="A55" s="79"/>
      <x:c r="C55" t="str">
        <x:v>Senior notes opening balance</x:v>
      </x:c>
      <x:c r="D55"/>
      <x:c r="E55" s="328" t="n">
        <x:f>D40</x:f>
        <x:v>1276.361390962025</x:v>
      </x:c>
      <x:c r="F55" s="328" t="n">
        <x:f>E40</x:f>
        <x:v>1276.361390962025</x:v>
      </x:c>
      <x:c r="G55" s="328" t="n">
        <x:f>F40</x:f>
        <x:v>1276.361390962025</x:v>
      </x:c>
      <x:c r="H55" s="4"/>
      <x:c r="I55" s="4"/>
      <x:c r="J55" s="4"/>
      <x:c r="K55" s="4"/>
      <x:c r="L55" s="4"/>
      <x:c r="M55" s="4"/>
    </x:row>
    <x:row r="56">
      <x:c r="A56" s="79"/>
      <x:c r="C56" t="str">
        <x:v>Senior notes optional repayment</x:v>
      </x:c>
      <x:c r="D56"/>
      <x:c r="E56" s="328" t="n">
        <x:f>-MIN(E55,MAX(0,ABS(E12)-ABS(E53)-ABS(E50)))</x:f>
        <x:v>0</x:v>
      </x:c>
      <x:c r="F56" s="328" t="n">
        <x:f>-MIN(F55,MAX(0,ABS(F12)-ABS(F53)-ABS(F50)))</x:f>
        <x:v>0</x:v>
      </x:c>
      <x:c r="G56" s="328" t="n">
        <x:f>-MIN(G55,MAX(0,ABS(G12)-ABS(G53)-ABS(G50)))</x:f>
        <x:v>0</x:v>
      </x:c>
      <x:c r="H56" s="4"/>
      <x:c r="I56" s="4"/>
      <x:c r="J56" s="4"/>
      <x:c r="K56" s="4"/>
      <x:c r="L56" s="4"/>
      <x:c r="M56" s="4"/>
    </x:row>
    <x:row r="57">
      <x:c r="A57" s="79"/>
      <x:c r="C57" s="287" t="str">
        <x:v>Senior notes closing balance</x:v>
      </x:c>
      <x:c r="D57" s="287"/>
      <x:c r="E57" s="332" t="n">
        <x:f>SUM(E55:E56)</x:f>
        <x:v>1276.361390962025</x:v>
      </x:c>
      <x:c r="F57" s="332" t="n">
        <x:f>SUM(F55:F56)</x:f>
        <x:v>1276.361390962025</x:v>
      </x:c>
      <x:c r="G57" s="332" t="n">
        <x:f>SUM(G55:G56)</x:f>
        <x:v>1276.361390962025</x:v>
      </x:c>
      <x:c r="H57" s="4"/>
      <x:c r="I57" s="4"/>
      <x:c r="J57" s="4"/>
      <x:c r="K57" s="4"/>
      <x:c r="L57" s="4"/>
      <x:c r="M57" s="4"/>
    </x:row>
    <x:row r="58">
      <x:c r="A58" s="79"/>
      <x:c r="C58" t="str">
        <x:v>Term loan A interest</x:v>
      </x:c>
      <x:c r="D58"/>
      <x:c r="E58" s="328" t="n">
        <x:f>(E48+E49/2)*'Transaction Assumptions'!D48</x:f>
        <x:v>269.0995265944936</x:v>
      </x:c>
      <x:c r="F58" s="328" t="n">
        <x:f>(F48+F49/2)*'Transaction Assumptions'!D48</x:f>
        <x:v>245.69956776018984</x:v>
      </x:c>
      <x:c r="G58" s="328" t="n">
        <x:f>(G48+G49/2)*'Transaction Assumptions'!D48</x:f>
        <x:v>222.29960892588602</x:v>
      </x:c>
      <x:c r="H58" s="4"/>
      <x:c r="I58" s="4"/>
      <x:c r="J58" s="4"/>
      <x:c r="K58" s="4"/>
      <x:c r="L58" s="4"/>
      <x:c r="M58" s="4"/>
    </x:row>
    <x:row r="59">
      <x:c r="A59" s="79"/>
      <x:c r="C59" t="str">
        <x:v>Bridge loan interest</x:v>
      </x:c>
      <x:c r="D59"/>
      <x:c r="E59" s="328" t="n">
        <x:f>E52*'Transaction Assumptions'!D49</x:f>
        <x:v>127.63613909620248</x:v>
      </x:c>
      <x:c r="F59" s="328" t="n">
        <x:f>F52*'Transaction Assumptions'!D49</x:f>
        <x:v>127.540970434635</x:v>
      </x:c>
      <x:c r="G59" s="328" t="n">
        <x:f>G52*'Transaction Assumptions'!D49</x:f>
        <x:v>121.35010088756289</x:v>
      </x:c>
      <x:c r="H59" s="4"/>
      <x:c r="I59" s="4"/>
      <x:c r="J59" s="4"/>
      <x:c r="K59" s="4"/>
      <x:c r="L59" s="4"/>
      <x:c r="M59" s="4"/>
    </x:row>
    <x:row r="60">
      <x:c r="A60" s="79"/>
      <x:c r="C60" t="str">
        <x:v>Senior notes interest</x:v>
      </x:c>
      <x:c r="D60"/>
      <x:c r="E60" s="328" t="n">
        <x:f>E55*'Transaction Assumptions'!D50</x:f>
        <x:v>80.83622142759488</x:v>
      </x:c>
      <x:c r="F60" s="328" t="n">
        <x:f>F55*'Transaction Assumptions'!D50</x:f>
        <x:v>80.83622142759488</x:v>
      </x:c>
      <x:c r="G60" s="328" t="n">
        <x:f>G55*'Transaction Assumptions'!D50</x:f>
        <x:v>80.83622142759488</x:v>
      </x:c>
      <x:c r="H60" s="4"/>
      <x:c r="I60" s="4"/>
      <x:c r="J60" s="4"/>
      <x:c r="K60" s="4"/>
      <x:c r="L60" s="4"/>
      <x:c r="M60" s="4"/>
    </x:row>
    <x:row r="61">
      <x:c r="A61" s="79"/>
      <x:c r="C61" s="287" t="str">
        <x:v>Total cash interest expense</x:v>
      </x:c>
      <x:c r="D61" s="287"/>
      <x:c r="E61" s="332" t="n">
        <x:f>SUM(E58:E60)</x:f>
        <x:v>477.571887118291</x:v>
      </x:c>
      <x:c r="F61" s="332" t="n">
        <x:f>SUM(F58:F60)</x:f>
        <x:v>454.0767596224197</x:v>
      </x:c>
      <x:c r="G61" s="332" t="n">
        <x:f>SUM(G58:G60)</x:f>
        <x:v>424.4859312410438</x:v>
      </x:c>
      <x:c r="H61" s="4"/>
      <x:c r="I61" s="4"/>
      <x:c r="J61" s="4"/>
      <x:c r="K61" s="4"/>
      <x:c r="L61" s="4"/>
      <x:c r="M61" s="4"/>
    </x:row>
    <x:row r="62">
      <x:c r="A62" s="79"/>
      <x:c r="C62"/>
      <x:c r="D62"/>
      <x:c r="E62"/>
      <x:c r="F62"/>
      <x:c r="G62"/>
      <x:c r="H62" s="4"/>
      <x:c r="I62" s="4"/>
      <x:c r="J62" s="4"/>
      <x:c r="K62" s="4"/>
      <x:c r="L62" s="4"/>
      <x:c r="M62" s="4"/>
    </x:row>
    <x:row r="63">
      <x:c r="A63" s="79"/>
      <x:c r="C63"/>
      <x:c r="D63"/>
      <x:c r="E63"/>
      <x:c r="F63"/>
      <x:c r="G63"/>
      <x:c r="H63" s="4"/>
      <x:c r="I63" s="4"/>
      <x:c r="J63" s="4"/>
      <x:c r="K63" s="4"/>
      <x:c r="L63" s="4"/>
      <x:c r="M63" s="4"/>
    </x:row>
    <x:row r="64">
      <x:c r="A64" s="79"/>
      <x:c r="C64" s="298" t="str">
        <x:v>Interest convention</x:v>
      </x:c>
      <x:c r="D64" s="3" t="str">
        <x:v>Cash interest uses beginning debt less half of scheduled mandatory amortisation. Optional repayments occur at year-end.</x:v>
      </x:c>
      <x:c r="E64" s="3"/>
      <x:c r="F64" s="3"/>
      <x:c r="G64" s="3"/>
      <x:c r="H64" s="4"/>
      <x:c r="I64" s="4"/>
      <x:c r="J64" s="4"/>
      <x:c r="K64" s="4"/>
      <x:c r="L64" s="4"/>
      <x:c r="M64" s="4"/>
    </x:row>
    <x:row r="65">
      <x:c r="A65" s="79"/>
      <x:c r="C65" s="298" t="str">
        <x:v>Repayment priority</x:v>
      </x:c>
      <x:c r="D65" s="3" t="str">
        <x:v>Optional repayments reduce the bridge loan first, followed by term loan A and then senior notes.</x:v>
      </x:c>
      <x:c r="E65" s="3"/>
      <x:c r="F65" s="3"/>
      <x:c r="G65" s="3"/>
      <x:c r="H65" s="4"/>
      <x:c r="I65" s="4"/>
      <x:c r="J65" s="4"/>
      <x:c r="K65" s="4"/>
      <x:c r="L65" s="4"/>
      <x:c r="M65" s="4"/>
    </x:row>
    <x:row r="66">
      <x:c r="A66" s="79"/>
      <x:c r="C66" s="298" t="str">
        <x:v>Cash sweep</x:v>
      </x:c>
      <x:c r="D66" s="3" t="str">
        <x:v>The sweep uses GXO operating cash flow after capex, taxes, acquisition interest and integration costs.</x:v>
      </x:c>
      <x:c r="E66" s="3"/>
      <x:c r="F66" s="3"/>
      <x:c r="G66" s="3"/>
      <x:c r="H66" s="4"/>
      <x:c r="I66" s="4"/>
      <x:c r="J66" s="4"/>
      <x:c r="K66" s="4"/>
      <x:c r="L66" s="4"/>
      <x:c r="M66" s="4"/>
    </x:row>
    <x:row r="67">
      <x:c r="A67" s="79"/>
      <x:c r="C67" s="298" t="str">
        <x:v>Limitations</x:v>
      </x:c>
      <x:c r="D67" s="3" t="str">
        <x:v>The schedule excludes refinancing of UPS legacy debt and assumes no incremental revolver borrowings after closing.</x:v>
      </x:c>
      <x:c r="E67" s="3"/>
      <x:c r="F67" s="3"/>
      <x:c r="G67" s="3"/>
      <x:c r="H67" s="4"/>
      <x:c r="I67" s="4"/>
      <x:c r="J67" s="4"/>
      <x:c r="K67" s="4"/>
      <x:c r="L67" s="4"/>
      <x:c r="M67" s="4"/>
    </x:row>
    <x:row r="68">
      <x:c r="A68" s="79"/>
      <x:c r="C68"/>
      <x:c r="D68"/>
      <x:c r="E68"/>
      <x:c r="F68"/>
      <x:c r="G68"/>
      <x:c r="H68" s="4"/>
      <x:c r="I68" s="4"/>
      <x:c r="J68" s="4"/>
      <x:c r="K68" s="4"/>
      <x:c r="L68" s="4"/>
      <x:c r="M68" s="4"/>
    </x:row>
    <x:row r="69">
      <x:c r="A69" s="79"/>
      <x:c r="C69"/>
      <x:c r="D69"/>
      <x:c r="E69"/>
      <x:c r="F69"/>
      <x:c r="G69"/>
      <x:c r="H69" s="4"/>
      <x:c r="I69" s="4"/>
      <x:c r="J69" s="4"/>
      <x:c r="K69" s="4"/>
      <x:c r="L69" s="4"/>
      <x:c r="M69" s="4"/>
    </x:row>
    <x:row r="70">
      <x:c r="A70" s="79"/>
      <x:c r="C70"/>
      <x:c r="D70"/>
      <x:c r="E70"/>
      <x:c r="F70"/>
      <x:c r="G70"/>
      <x:c r="H70" s="4"/>
      <x:c r="I70" s="4"/>
      <x:c r="J70" s="4"/>
      <x:c r="K70" s="4"/>
      <x:c r="L70" s="4"/>
      <x:c r="M70" s="4"/>
    </x:row>
    <x:row r="71">
      <x:c r="A71" s="79"/>
      <x:c r="C71"/>
      <x:c r="D71"/>
      <x:c r="E71"/>
      <x:c r="F71"/>
      <x:c r="G71"/>
      <x:c r="H71" s="4"/>
      <x:c r="I71" s="4"/>
      <x:c r="J71" s="4"/>
      <x:c r="K71" s="4"/>
      <x:c r="L71" s="4"/>
      <x:c r="M71" s="4"/>
    </x:row>
    <x:row r="72">
      <x:c r="A72" s="79"/>
      <x:c r="C72"/>
      <x:c r="D72"/>
      <x:c r="E72"/>
      <x:c r="F72"/>
      <x:c r="G72"/>
      <x:c r="H72" s="4"/>
      <x:c r="I72" s="4"/>
      <x:c r="J72" s="4"/>
      <x:c r="K72" s="4"/>
      <x:c r="L72" s="4"/>
      <x:c r="M72" s="4"/>
    </x:row>
    <x:row r="73">
      <x:c r="A73" s="79"/>
      <x:c r="C73"/>
      <x:c r="D73"/>
      <x:c r="E73"/>
      <x:c r="F73"/>
      <x:c r="G73"/>
      <x:c r="H73" s="4"/>
      <x:c r="I73" s="4"/>
      <x:c r="J73" s="4"/>
      <x:c r="K73" s="4"/>
      <x:c r="L73" s="4"/>
      <x:c r="M73" s="4"/>
    </x:row>
    <x:row r="74">
      <x:c r="A74" s="79"/>
      <x:c r="C74"/>
      <x:c r="D74"/>
      <x:c r="E74"/>
      <x:c r="F74"/>
      <x:c r="G74"/>
      <x:c r="H74" s="4"/>
      <x:c r="I74" s="4"/>
      <x:c r="J74" s="4"/>
      <x:c r="K74" s="4"/>
      <x:c r="L74" s="4"/>
      <x:c r="M74" s="4"/>
    </x:row>
    <x:row r="75">
      <x:c r="A75" s="79"/>
      <x:c r="C75"/>
      <x:c r="D75"/>
      <x:c r="E75"/>
      <x:c r="F75"/>
      <x:c r="G75"/>
      <x:c r="H75" s="4"/>
      <x:c r="I75" s="4"/>
      <x:c r="J75" s="4"/>
      <x:c r="K75" s="4"/>
      <x:c r="L75" s="4"/>
      <x:c r="M75" s="4"/>
    </x:row>
    <x:row r="76">
      <x:c r="A76" s="79"/>
      <x:c r="C76"/>
      <x:c r="D76"/>
      <x:c r="E76"/>
      <x:c r="F76"/>
      <x:c r="G76"/>
      <x:c r="H76" s="4"/>
      <x:c r="I76" s="4"/>
      <x:c r="J76" s="4"/>
      <x:c r="K76" s="4"/>
      <x:c r="L76" s="4"/>
      <x:c r="M76" s="4"/>
    </x:row>
    <x:row r="77">
      <x:c r="A77" s="79"/>
      <x:c r="C77"/>
      <x:c r="D77"/>
      <x:c r="E77"/>
      <x:c r="F77"/>
      <x:c r="G77"/>
      <x:c r="H77" s="4"/>
      <x:c r="I77" s="4"/>
      <x:c r="J77" s="4"/>
      <x:c r="K77" s="4"/>
      <x:c r="L77" s="4"/>
      <x:c r="M77" s="4"/>
    </x:row>
    <x:row r="78">
      <x:c r="A78" s="79"/>
      <x:c r="C78"/>
      <x:c r="D78"/>
      <x:c r="E78"/>
      <x:c r="F78"/>
      <x:c r="G78"/>
      <x:c r="H78" s="4"/>
      <x:c r="I78" s="4"/>
      <x:c r="J78" s="4"/>
      <x:c r="K78" s="4"/>
      <x:c r="L78" s="4"/>
      <x:c r="M78" s="4"/>
    </x:row>
    <x:row r="79">
      <x:c r="A79" s="79"/>
      <x:c r="C79"/>
      <x:c r="D79"/>
      <x:c r="E79"/>
      <x:c r="F79"/>
      <x:c r="G79"/>
      <x:c r="H79" s="4"/>
      <x:c r="I79" s="4"/>
      <x:c r="J79" s="4"/>
      <x:c r="K79" s="4"/>
      <x:c r="L79" s="4"/>
      <x:c r="M79" s="4"/>
    </x:row>
    <x:row r="80">
      <x:c r="A80" s="79"/>
      <x:c r="C80"/>
      <x:c r="D80"/>
      <x:c r="E80"/>
      <x:c r="F80"/>
      <x:c r="G80"/>
      <x:c r="H80" s="4"/>
      <x:c r="I80" s="4"/>
      <x:c r="J80" s="4"/>
      <x:c r="K80" s="4"/>
      <x:c r="L80" s="4"/>
      <x:c r="M80" s="4"/>
    </x:row>
    <x:row r="81">
      <x:c r="A81" s="79"/>
      <x:c r="C81"/>
      <x:c r="D81"/>
      <x:c r="E81"/>
      <x:c r="F81"/>
      <x:c r="G81"/>
      <x:c r="H81" s="4"/>
      <x:c r="I81" s="4"/>
      <x:c r="J81" s="4"/>
      <x:c r="K81" s="4"/>
      <x:c r="L81" s="4"/>
      <x:c r="M81" s="4"/>
    </x:row>
    <x:row r="82">
      <x:c r="A82" s="79"/>
      <x:c r="C82"/>
      <x:c r="D82"/>
      <x:c r="E82"/>
      <x:c r="F82"/>
      <x:c r="G82"/>
      <x:c r="H82" s="4"/>
      <x:c r="I82" s="4"/>
      <x:c r="J82" s="4"/>
      <x:c r="K82" s="4"/>
      <x:c r="L82" s="4"/>
      <x:c r="M82" s="4"/>
    </x:row>
    <x:row r="83">
      <x:c r="A83" s="79"/>
      <x:c r="C83"/>
      <x:c r="D83"/>
      <x:c r="E83"/>
      <x:c r="F83"/>
      <x:c r="G83"/>
      <x:c r="H83" s="4"/>
      <x:c r="I83" s="4"/>
      <x:c r="J83" s="4"/>
      <x:c r="K83" s="4"/>
      <x:c r="L83" s="4"/>
      <x:c r="M83" s="4"/>
    </x:row>
    <x:row r="84">
      <x:c r="A84" s="79"/>
      <x:c r="C84"/>
      <x:c r="D84"/>
      <x:c r="E84"/>
      <x:c r="F84"/>
      <x:c r="G84"/>
      <x:c r="H84" s="4"/>
      <x:c r="I84" s="4"/>
      <x:c r="J84" s="4"/>
      <x:c r="K84" s="4"/>
      <x:c r="L84" s="4"/>
      <x:c r="M84" s="4"/>
    </x:row>
    <x:row r="85">
      <x:c r="A85" s="79"/>
      <x:c r="C85"/>
      <x:c r="D85"/>
      <x:c r="E85"/>
      <x:c r="F85"/>
      <x:c r="G85"/>
      <x:c r="H85" s="4"/>
      <x:c r="I85" s="4"/>
      <x:c r="J85" s="4"/>
      <x:c r="K85" s="4"/>
      <x:c r="L85" s="4"/>
      <x:c r="M85" s="4"/>
    </x:row>
    <x:row r="86">
      <x:c r="A86" s="79"/>
      <x:c r="C86"/>
      <x:c r="D86"/>
      <x:c r="E86"/>
      <x:c r="F86"/>
      <x:c r="G86"/>
      <x:c r="H86" s="4"/>
      <x:c r="I86" s="4"/>
      <x:c r="J86" s="4"/>
      <x:c r="K86" s="4"/>
      <x:c r="L86" s="4"/>
      <x:c r="M86" s="4"/>
    </x:row>
    <x:row r="87">
      <x:c r="A87" s="79"/>
      <x:c r="C87"/>
      <x:c r="D87"/>
      <x:c r="E87"/>
      <x:c r="F87"/>
      <x:c r="G87"/>
      <x:c r="H87" s="4"/>
      <x:c r="I87" s="4"/>
      <x:c r="J87" s="4"/>
      <x:c r="K87" s="4"/>
      <x:c r="L87" s="4"/>
      <x:c r="M87" s="4"/>
    </x:row>
    <x:row r="88">
      <x:c r="A88" s="79"/>
      <x:c r="C88"/>
      <x:c r="D88"/>
      <x:c r="E88"/>
      <x:c r="F88"/>
      <x:c r="G88"/>
      <x:c r="H88" s="4"/>
      <x:c r="I88" s="4"/>
      <x:c r="J88" s="4"/>
      <x:c r="K88" s="4"/>
      <x:c r="L88" s="4"/>
      <x:c r="M88" s="4"/>
    </x:row>
    <x:row r="89">
      <x:c r="A89" s="79"/>
      <x:c r="C89"/>
      <x:c r="D89"/>
      <x:c r="E89"/>
      <x:c r="F89"/>
      <x:c r="G89"/>
      <x:c r="H89" s="4"/>
      <x:c r="I89" s="4"/>
      <x:c r="J89" s="4"/>
      <x:c r="K89" s="4"/>
      <x:c r="L89" s="4"/>
      <x:c r="M89" s="4"/>
    </x:row>
    <x:row r="90">
      <x:c r="A90" s="79"/>
      <x:c r="C90"/>
      <x:c r="D90"/>
      <x:c r="E90"/>
      <x:c r="F90"/>
      <x:c r="G90"/>
      <x:c r="H90" s="4"/>
      <x:c r="I90" s="4"/>
      <x:c r="J90" s="4"/>
      <x:c r="K90" s="4"/>
      <x:c r="L90" s="4"/>
      <x:c r="M90" s="4"/>
    </x:row>
    <x:row r="91">
      <x:c r="A91" s="79"/>
      <x:c r="C91"/>
      <x:c r="D91"/>
      <x:c r="E91"/>
      <x:c r="F91"/>
      <x:c r="G91"/>
      <x:c r="H91" s="4"/>
      <x:c r="I91" s="4"/>
      <x:c r="J91" s="4"/>
      <x:c r="K91" s="4"/>
      <x:c r="L91" s="4"/>
      <x:c r="M91" s="4"/>
    </x:row>
    <x:row r="92">
      <x:c r="A92" s="79"/>
      <x:c r="C92"/>
      <x:c r="D92"/>
      <x:c r="E92"/>
      <x:c r="F92"/>
      <x:c r="G92"/>
      <x:c r="H92" s="4"/>
      <x:c r="I92" s="4"/>
      <x:c r="J92" s="4"/>
      <x:c r="K92" s="4"/>
      <x:c r="L92" s="4"/>
      <x:c r="M92" s="4"/>
    </x:row>
    <x:row r="93">
      <x:c r="A93" s="79"/>
      <x:c r="C93"/>
      <x:c r="D93"/>
      <x:c r="E93"/>
      <x:c r="F93"/>
      <x:c r="G93"/>
      <x:c r="H93" s="4"/>
      <x:c r="I93" s="4"/>
      <x:c r="J93" s="4"/>
      <x:c r="K93" s="4"/>
      <x:c r="L93" s="4"/>
      <x:c r="M93" s="4"/>
    </x:row>
    <x:row r="94">
      <x:c r="A94" s="79"/>
      <x:c r="C94"/>
      <x:c r="D94"/>
      <x:c r="E94"/>
      <x:c r="F94"/>
      <x:c r="G94"/>
      <x:c r="H94" s="4"/>
      <x:c r="I94" s="4"/>
      <x:c r="J94" s="4"/>
      <x:c r="K94" s="4"/>
      <x:c r="L94" s="4"/>
      <x:c r="M94" s="4"/>
    </x:row>
    <x:row r="95">
      <x:c r="A95" s="79"/>
      <x:c r="C95"/>
      <x:c r="D95"/>
      <x:c r="E95"/>
      <x:c r="F95"/>
      <x:c r="G95"/>
      <x:c r="H95" s="4"/>
      <x:c r="I95" s="4"/>
      <x:c r="J95" s="4"/>
      <x:c r="K95" s="4"/>
      <x:c r="L95" s="4"/>
      <x:c r="M95" s="4"/>
    </x:row>
    <x:row r="96">
      <x:c r="A96" s="79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79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79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79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79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Purchase accounting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Illustrative allocation of equity consideration to identifiable net assets and goodwill | USD in millions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408" t="str">
        <x:v>Consideration and book value</x:v>
      </x:c>
      <x:c r="D6" s="409"/>
      <x:c r="E6" s="409"/>
      <x:c r="F6" s="410"/>
      <x:c r="G6"/>
      <x:c r="H6"/>
      <x:c r="I6" s="4"/>
      <x:c r="J6" s="4"/>
      <x:c r="K6" s="4"/>
      <x:c r="L6" s="4"/>
      <x:c r="M6" s="4"/>
    </x:row>
    <x:row r="7">
      <x:c r="A7" s="79"/>
      <x:c r="C7"/>
      <x:c r="D7"/>
      <x:c r="E7"/>
      <x:c r="F7"/>
      <x:c r="G7"/>
      <x:c r="H7"/>
      <x:c r="I7" s="4"/>
      <x:c r="J7" s="4"/>
      <x:c r="K7" s="4"/>
      <x:c r="L7" s="4"/>
      <x:c r="M7" s="4"/>
    </x:row>
    <x:row r="8">
      <x:c r="A8" s="79"/>
      <x:c r="C8" s="411" t="str">
        <x:v>Metric</x:v>
      </x:c>
      <x:c r="D8" s="411" t="str">
        <x:v>Amount</x:v>
      </x:c>
      <x:c r="E8" s="411" t="str">
        <x:v>Source / status</x:v>
      </x:c>
      <x:c r="F8" s="411" t="str">
        <x:v>Calculation</x:v>
      </x:c>
      <x:c r="G8"/>
      <x:c r="H8"/>
      <x:c r="I8" s="4"/>
      <x:c r="J8" s="4"/>
      <x:c r="K8" s="4"/>
      <x:c r="L8" s="4"/>
      <x:c r="M8" s="4"/>
    </x:row>
    <x:row r="9">
      <x:c r="A9" s="79"/>
      <x:c r="C9" t="str">
        <x:v>Equity purchase price</x:v>
      </x:c>
      <x:c r="D9" s="329" t="n">
        <x:f>'Transaction Valuation'!D16</x:f>
        <x:v>8070.6527</x:v>
      </x:c>
      <x:c r="E9" t="str">
        <x:v>Transaction Valuation</x:v>
      </x:c>
      <x:c r="F9" t="str">
        <x:v>Offer price × fully diluted shares</x:v>
      </x:c>
      <x:c r="G9"/>
      <x:c r="H9"/>
      <x:c r="I9" s="4"/>
      <x:c r="J9" s="4"/>
      <x:c r="K9" s="4"/>
      <x:c r="L9" s="4"/>
      <x:c r="M9" s="4"/>
    </x:row>
    <x:row r="10">
      <x:c r="A10" s="79"/>
      <x:c r="C10" t="str">
        <x:v>GXO book value of equity</x:v>
      </x:c>
      <x:c r="D10" s="329" t="n">
        <x:f>'Target Financials'!F41</x:f>
        <x:v>3015</x:v>
      </x:c>
      <x:c r="E10" t="str">
        <x:v>S01 / S07</x:v>
      </x:c>
      <x:c r="F10" t="str">
        <x:v>FY2025 reported equity</x:v>
      </x:c>
      <x:c r="G10"/>
      <x:c r="H10"/>
      <x:c r="I10" s="4"/>
      <x:c r="J10" s="4"/>
      <x:c r="K10" s="4"/>
      <x:c r="L10" s="4"/>
      <x:c r="M10" s="4"/>
    </x:row>
    <x:row r="11">
      <x:c r="A11" s="79"/>
      <x:c r="C11" t="str">
        <x:v>Purchase premium to book value</x:v>
      </x:c>
      <x:c r="D11" s="328" t="n">
        <x:f>D9-D10</x:f>
        <x:v>5055.6527</x:v>
      </x:c>
      <x:c r="E11" t="str">
        <x:v>Calculated</x:v>
      </x:c>
      <x:c r="F11" t="str">
        <x:v>Purchase price less book equity</x:v>
      </x:c>
      <x:c r="G11"/>
      <x:c r="H11"/>
      <x:c r="I11" s="4"/>
      <x:c r="J11" s="4"/>
      <x:c r="K11" s="4"/>
      <x:c r="L11" s="4"/>
      <x:c r="M11" s="4"/>
    </x:row>
    <x:row r="12">
      <x:c r="A12" s="79"/>
      <x:c r="C12" t="str">
        <x:v>Purchase price / book value</x:v>
      </x:c>
      <x:c r="D12" s="294" t="n">
        <x:f>D9/D10</x:f>
        <x:v>2.676833399668325</x:v>
      </x:c>
      <x:c r="E12" t="str">
        <x:v>Calculated</x:v>
      </x:c>
      <x:c r="F12" t="str">
        <x:v>Purchase price divided by book equity</x:v>
      </x:c>
      <x:c r="G12"/>
      <x:c r="H12"/>
      <x:c r="I12" s="4"/>
      <x:c r="J12" s="4"/>
      <x:c r="K12" s="4"/>
      <x:c r="L12" s="4"/>
      <x:c r="M12" s="4"/>
    </x:row>
    <x:row r="13">
      <x:c r="A13" s="79"/>
      <x:c r="C13"/>
      <x:c r="D13"/>
      <x:c r="E13"/>
      <x:c r="F13"/>
      <x:c r="G13"/>
      <x:c r="H13"/>
      <x:c r="I13" s="4"/>
      <x:c r="J13" s="4"/>
      <x:c r="K13" s="4"/>
      <x:c r="L13" s="4"/>
      <x:c r="M13" s="4"/>
    </x:row>
    <x:row r="14">
      <x:c r="A14" s="79"/>
      <x:c r="C14"/>
      <x:c r="D14"/>
      <x:c r="E14"/>
      <x:c r="F14"/>
      <x:c r="G14"/>
      <x:c r="H14"/>
      <x:c r="I14" s="4"/>
      <x:c r="J14" s="4"/>
      <x:c r="K14" s="4"/>
      <x:c r="L14" s="4"/>
      <x:c r="M14" s="4"/>
    </x:row>
    <x:row r="15">
      <x:c r="A15" s="79"/>
      <x:c r="C15" s="408" t="str">
        <x:v>Purchase price allocation</x:v>
      </x:c>
      <x:c r="D15" s="409"/>
      <x:c r="E15" s="409"/>
      <x:c r="F15" s="409"/>
      <x:c r="G15" s="409"/>
      <x:c r="H15" s="410"/>
      <x:c r="I15" s="4"/>
      <x:c r="J15" s="4"/>
      <x:c r="K15" s="4"/>
      <x:c r="L15" s="4"/>
      <x:c r="M15" s="4"/>
    </x:row>
    <x:row r="16">
      <x:c r="A16" s="79"/>
      <x:c r="C16"/>
      <x:c r="D16"/>
      <x:c r="E16"/>
      <x:c r="F16"/>
      <x:c r="G16"/>
      <x:c r="H16"/>
      <x:c r="I16" s="4"/>
      <x:c r="J16" s="4"/>
      <x:c r="K16" s="4"/>
      <x:c r="L16" s="4"/>
      <x:c r="M16" s="4"/>
    </x:row>
    <x:row r="17">
      <x:c r="A17" s="79"/>
      <x:c r="C17" s="411" t="str">
        <x:v>Metric</x:v>
      </x:c>
      <x:c r="D17" s="411" t="str">
        <x:v>Amount</x:v>
      </x:c>
      <x:c r="E17" s="411" t="str">
        <x:v>% consideration</x:v>
      </x:c>
      <x:c r="F17" s="411" t="str">
        <x:v>Tax basis</x:v>
      </x:c>
      <x:c r="G17" s="411" t="str">
        <x:v>Source / status</x:v>
      </x:c>
      <x:c r="H17" s="411" t="str">
        <x:v>Calculation</x:v>
      </x:c>
      <x:c r="I17" s="4"/>
      <x:c r="J17" s="4"/>
      <x:c r="K17" s="4"/>
      <x:c r="L17" s="4"/>
      <x:c r="M17" s="4"/>
    </x:row>
    <x:row r="18">
      <x:c r="A18" s="79"/>
      <x:c r="C18" t="str">
        <x:v>GXO book value of equity</x:v>
      </x:c>
      <x:c r="D18" s="329" t="n">
        <x:f>D10</x:f>
        <x:v>3015</x:v>
      </x:c>
      <x:c r="E18" s="130" t="n">
        <x:f>D18/$D$9</x:f>
        <x:v>0.3735757332241542</x:v>
      </x:c>
      <x:c r="F18" t="str">
        <x:v>Book basis</x:v>
      </x:c>
      <x:c r="G18" t="str">
        <x:v>S01 / S07</x:v>
      </x:c>
      <x:c r="H18" t="str">
        <x:v>Reported equity</x:v>
      </x:c>
      <x:c r="I18" s="4"/>
      <x:c r="J18" s="4"/>
      <x:c r="K18" s="4"/>
      <x:c r="L18" s="4"/>
      <x:c r="M18" s="4"/>
    </x:row>
    <x:row r="19">
      <x:c r="A19" s="79"/>
      <x:c r="C19" t="str">
        <x:v>Inventory write-up</x:v>
      </x:c>
      <x:c r="D19" s="329" t="n">
        <x:f>$D$9*'Transaction Assumptions'!D63</x:f>
        <x:v>40.3532635</x:v>
      </x:c>
      <x:c r="E19" s="130" t="n">
        <x:f>D19/$D$9</x:f>
        <x:v>0.005</x:v>
      </x:c>
      <x:c r="F19" t="str">
        <x:v>Taxable</x:v>
      </x:c>
      <x:c r="G19" t="str">
        <x:v>A29</x:v>
      </x:c>
      <x:c r="H19" t="str">
        <x:v>0.5% of consideration</x:v>
      </x:c>
      <x:c r="I19" s="4"/>
      <x:c r="J19" s="4"/>
      <x:c r="K19" s="4"/>
      <x:c r="L19" s="4"/>
      <x:c r="M19" s="4"/>
    </x:row>
    <x:row r="20">
      <x:c r="A20" s="79"/>
      <x:c r="C20" t="str">
        <x:v>PP&amp;E write-up</x:v>
      </x:c>
      <x:c r="D20" s="329" t="n">
        <x:f>$D$9*'Transaction Assumptions'!D65</x:f>
        <x:v>403.532635</x:v>
      </x:c>
      <x:c r="E20" s="130" t="n">
        <x:f>D20/$D$9</x:f>
        <x:v>0.05</x:v>
      </x:c>
      <x:c r="F20" t="str">
        <x:v>Taxable</x:v>
      </x:c>
      <x:c r="G20" t="str">
        <x:v>A31</x:v>
      </x:c>
      <x:c r="H20" t="str">
        <x:v>5.0% of consideration</x:v>
      </x:c>
      <x:c r="I20" s="4"/>
      <x:c r="J20" s="4"/>
      <x:c r="K20" s="4"/>
      <x:c r="L20" s="4"/>
      <x:c r="M20" s="4"/>
    </x:row>
    <x:row r="21">
      <x:c r="A21" s="79"/>
      <x:c r="C21" t="str">
        <x:v>Customer relationships</x:v>
      </x:c>
      <x:c r="D21" s="329" t="n">
        <x:f>$D$9*'Transaction Assumptions'!D67</x:f>
        <x:v>1452.7174859999998</x:v>
      </x:c>
      <x:c r="E21" s="130" t="n">
        <x:f>D21/$D$9</x:f>
        <x:v>0.18</x:v>
      </x:c>
      <x:c r="F21" t="str">
        <x:v>Taxable</x:v>
      </x:c>
      <x:c r="G21" t="str">
        <x:v>A33</x:v>
      </x:c>
      <x:c r="H21" t="str">
        <x:v>18.0% of consideration</x:v>
      </x:c>
      <x:c r="I21" s="4"/>
      <x:c r="J21" s="4"/>
      <x:c r="K21" s="4"/>
      <x:c r="L21" s="4"/>
      <x:c r="M21" s="4"/>
    </x:row>
    <x:row r="22">
      <x:c r="A22" s="79"/>
      <x:c r="C22" t="str">
        <x:v>Technology</x:v>
      </x:c>
      <x:c r="D22" s="329" t="n">
        <x:f>$D$9*'Transaction Assumptions'!D69</x:f>
        <x:v>403.532635</x:v>
      </x:c>
      <x:c r="E22" s="130" t="n">
        <x:f>D22/$D$9</x:f>
        <x:v>0.05</x:v>
      </x:c>
      <x:c r="F22" t="str">
        <x:v>Taxable</x:v>
      </x:c>
      <x:c r="G22" t="str">
        <x:v>A35</x:v>
      </x:c>
      <x:c r="H22" t="str">
        <x:v>5.0% of consideration</x:v>
      </x:c>
      <x:c r="I22" s="4"/>
      <x:c r="J22" s="4"/>
      <x:c r="K22" s="4"/>
      <x:c r="L22" s="4"/>
      <x:c r="M22" s="4"/>
    </x:row>
    <x:row r="23">
      <x:c r="A23" s="79"/>
      <x:c r="C23" t="str">
        <x:v>Trade name</x:v>
      </x:c>
      <x:c r="D23" s="329" t="n">
        <x:f>$D$9*'Transaction Assumptions'!D71</x:f>
        <x:v>242.11958099999998</x:v>
      </x:c>
      <x:c r="E23" s="130" t="n">
        <x:f>D23/$D$9</x:f>
        <x:v>0.03</x:v>
      </x:c>
      <x:c r="F23" t="str">
        <x:v>Taxable</x:v>
      </x:c>
      <x:c r="G23" t="str">
        <x:v>A37</x:v>
      </x:c>
      <x:c r="H23" t="str">
        <x:v>3.0% of consideration</x:v>
      </x:c>
      <x:c r="I23" s="4"/>
      <x:c r="J23" s="4"/>
      <x:c r="K23" s="4"/>
      <x:c r="L23" s="4"/>
      <x:c r="M23" s="4"/>
    </x:row>
    <x:row r="24">
      <x:c r="A24" s="79"/>
      <x:c r="C24" s="287" t="str">
        <x:v>Gross identifiable write-ups</x:v>
      </x:c>
      <x:c r="D24" s="332" t="n">
        <x:f>SUM(D19:D23)</x:f>
        <x:v>2542.2556004999997</x:v>
      </x:c>
      <x:c r="E24" s="333" t="n">
        <x:f>D24/$D$9</x:f>
        <x:v>0.31499999999999995</x:v>
      </x:c>
      <x:c r="F24" s="287" t="str">
        <x:v>Taxable</x:v>
      </x:c>
      <x:c r="G24" s="287" t="str">
        <x:v>Calculated</x:v>
      </x:c>
      <x:c r="H24" s="287" t="str">
        <x:v>Sum of write-ups</x:v>
      </x:c>
      <x:c r="I24" s="4"/>
      <x:c r="J24" s="4"/>
      <x:c r="K24" s="4"/>
      <x:c r="L24" s="4"/>
      <x:c r="M24" s="4"/>
    </x:row>
    <x:row r="25">
      <x:c r="A25" s="79"/>
      <x:c r="C25" t="str">
        <x:v>Deferred tax liability</x:v>
      </x:c>
      <x:c r="D25" s="328" t="n">
        <x:f>-D24*'Transaction Assumptions'!D24</x:f>
        <x:v>-584.7187881149999</x:v>
      </x:c>
      <x:c r="E25" s="130" t="n">
        <x:f>D25/$D$9</x:f>
        <x:v>-0.07245</x:v>
      </x:c>
      <x:c r="F25" t="str">
        <x:v>DTL</x:v>
      </x:c>
      <x:c r="G25" t="str">
        <x:v>A07</x:v>
      </x:c>
      <x:c r="H25" t="str">
        <x:v>Write-ups × tax rate</x:v>
      </x:c>
      <x:c r="I25" s="4"/>
      <x:c r="J25" s="4"/>
      <x:c r="K25" s="4"/>
      <x:c r="L25" s="4"/>
      <x:c r="M25" s="4"/>
    </x:row>
    <x:row r="26">
      <x:c r="A26" s="79"/>
      <x:c r="C26" t="str">
        <x:v>Identifiable net assets</x:v>
      </x:c>
      <x:c r="D26" s="328" t="n">
        <x:f>SUM(D18,D24:D25)</x:f>
        <x:v>4972.536812385</x:v>
      </x:c>
      <x:c r="E26" s="130" t="n">
        <x:f>D26/$D$9</x:f>
        <x:v>0.6161257332241543</x:v>
      </x:c>
      <x:c r="F26" t="str">
        <x:v>Net of DTL</x:v>
      </x:c>
      <x:c r="G26" t="str">
        <x:v>Calculated</x:v>
      </x:c>
      <x:c r="H26" t="str">
        <x:v>Book equity + net write-ups</x:v>
      </x:c>
      <x:c r="I26" s="4"/>
      <x:c r="J26" s="4"/>
      <x:c r="K26" s="4"/>
      <x:c r="L26" s="4"/>
      <x:c r="M26" s="4"/>
    </x:row>
    <x:row r="27">
      <x:c r="A27" s="79"/>
      <x:c r="C27" t="str">
        <x:v>Goodwill</x:v>
      </x:c>
      <x:c r="D27" s="328" t="n">
        <x:f>$D$9-D26</x:f>
        <x:v>3098.1158876149993</x:v>
      </x:c>
      <x:c r="E27" s="130" t="n">
        <x:f>D27/$D$9</x:f>
        <x:v>0.3838742667758457</x:v>
      </x:c>
      <x:c r="F27" t="str">
        <x:v>Not amortised</x:v>
      </x:c>
      <x:c r="G27" t="str">
        <x:v>Calculated plug</x:v>
      </x:c>
      <x:c r="H27" t="str">
        <x:v>Residual consideration</x:v>
      </x:c>
      <x:c r="I27" s="4"/>
      <x:c r="J27" s="4"/>
      <x:c r="K27" s="4"/>
      <x:c r="L27" s="4"/>
      <x:c r="M27" s="4"/>
    </x:row>
    <x:row r="28">
      <x:c r="A28" s="79"/>
      <x:c r="C28" s="287" t="str">
        <x:v>Allocated consideration</x:v>
      </x:c>
      <x:c r="D28" s="332" t="n">
        <x:f>SUM(D26:D27)</x:f>
        <x:v>8070.6527</x:v>
      </x:c>
      <x:c r="E28" s="333" t="n">
        <x:f>D28/$D$9</x:f>
        <x:v>1</x:v>
      </x:c>
      <x:c r="F28" s="287" t="str">
        <x:v>Total</x:v>
      </x:c>
      <x:c r="G28" s="287" t="str">
        <x:v>Calculated</x:v>
      </x:c>
      <x:c r="H28" s="287" t="str">
        <x:v>Net assets + goodwill</x:v>
      </x:c>
      <x:c r="I28" s="4"/>
      <x:c r="J28" s="4"/>
      <x:c r="K28" s="4"/>
      <x:c r="L28" s="4"/>
      <x:c r="M28" s="4"/>
    </x:row>
    <x:row r="29">
      <x:c r="A29" s="79"/>
      <x:c r="C29" s="412" t="str">
        <x:v>Allocation check</x:v>
      </x:c>
      <x:c r="D29" s="413" t="n">
        <x:f>D28-$D$9</x:f>
        <x:v>0</x:v>
      </x:c>
      <x:c r="E29" s="414" t="n">
        <x:f>D29/$D$9</x:f>
        <x:v>0</x:v>
      </x:c>
      <x:c r="F29" s="412" t="str">
        <x:v>Control</x:v>
      </x:c>
      <x:c r="G29" s="412" t="str">
        <x:v>Control</x:v>
      </x:c>
      <x:c r="H29" s="412" t="str">
        <x:v>Allocation less consideration</x:v>
      </x:c>
      <x:c r="I29" s="4"/>
      <x:c r="J29" s="4"/>
      <x:c r="K29" s="4"/>
      <x:c r="L29" s="4"/>
      <x:c r="M29" s="4"/>
    </x:row>
    <x:row r="30">
      <x:c r="A30" s="79"/>
      <x:c r="C30"/>
      <x:c r="D30"/>
      <x:c r="E30"/>
      <x:c r="F30"/>
      <x:c r="G30"/>
      <x:c r="H30"/>
      <x:c r="I30" s="4"/>
      <x:c r="J30" s="4"/>
      <x:c r="K30" s="4"/>
      <x:c r="L30" s="4"/>
      <x:c r="M30" s="4"/>
    </x:row>
    <x:row r="31">
      <x:c r="A31" s="79"/>
      <x:c r="C31"/>
      <x:c r="D31"/>
      <x:c r="E31"/>
      <x:c r="F31"/>
      <x:c r="G31"/>
      <x:c r="H31"/>
      <x:c r="I31" s="4"/>
      <x:c r="J31" s="4"/>
      <x:c r="K31" s="4"/>
      <x:c r="L31" s="4"/>
      <x:c r="M31" s="4"/>
    </x:row>
    <x:row r="32">
      <x:c r="A32" s="79"/>
      <x:c r="C32" s="408" t="str">
        <x:v>Incremental purchase-accounting expense</x:v>
      </x:c>
      <x:c r="D32" s="409"/>
      <x:c r="E32" s="409"/>
      <x:c r="F32" s="409"/>
      <x:c r="G32" s="409"/>
      <x:c r="H32" s="410"/>
      <x:c r="I32" s="4"/>
      <x:c r="J32" s="4"/>
      <x:c r="K32" s="4"/>
      <x:c r="L32" s="4"/>
      <x:c r="M32" s="4"/>
    </x:row>
    <x:row r="33">
      <x:c r="A33" s="79"/>
      <x:c r="C33"/>
      <x:c r="D33"/>
      <x:c r="E33"/>
      <x:c r="F33"/>
      <x:c r="G33"/>
      <x:c r="H33"/>
      <x:c r="I33" s="4"/>
      <x:c r="J33" s="4"/>
      <x:c r="K33" s="4"/>
      <x:c r="L33" s="4"/>
      <x:c r="M33" s="4"/>
    </x:row>
    <x:row r="34">
      <x:c r="A34" s="79"/>
      <x:c r="C34" s="411" t="str">
        <x:v>Asset step-up</x:v>
      </x:c>
      <x:c r="D34" s="411" t="str">
        <x:v>Amount</x:v>
      </x:c>
      <x:c r="E34" s="411" t="str">
        <x:v>Useful life</x:v>
      </x:c>
      <x:c r="F34" s="411" t="str">
        <x:v>FY:26E</x:v>
      </x:c>
      <x:c r="G34" s="411" t="str">
        <x:v>FY:27E</x:v>
      </x:c>
      <x:c r="H34" s="411" t="str">
        <x:v>FY:28E</x:v>
      </x:c>
      <x:c r="I34" s="4"/>
      <x:c r="J34" s="4"/>
      <x:c r="K34" s="4"/>
      <x:c r="L34" s="4"/>
      <x:c r="M34" s="4"/>
    </x:row>
    <x:row r="35">
      <x:c r="A35" s="79"/>
      <x:c r="C35" t="str">
        <x:v>Inventory write-up</x:v>
      </x:c>
      <x:c r="D35" s="329" t="n">
        <x:f>D19</x:f>
        <x:v>40.3532635</x:v>
      </x:c>
      <x:c r="E35" s="397" t="n">
        <x:f>'Transaction Assumptions'!D64</x:f>
        <x:v>1</x:v>
      </x:c>
      <x:c r="F35" s="328" t="n">
        <x:f>$D35/'Transaction Assumptions'!D64</x:f>
        <x:v>40.3532635</x:v>
      </x:c>
      <x:c r="G35" s="328" t="n">
        <x:f>0</x:f>
        <x:v>0</x:v>
      </x:c>
      <x:c r="H35" s="328" t="n">
        <x:f>0</x:f>
        <x:v>0</x:v>
      </x:c>
      <x:c r="I35" s="4"/>
      <x:c r="J35" s="4"/>
      <x:c r="K35" s="4"/>
      <x:c r="L35" s="4"/>
      <x:c r="M35" s="4"/>
    </x:row>
    <x:row r="36">
      <x:c r="A36" s="79"/>
      <x:c r="C36" t="str">
        <x:v>PP&amp;E write-up</x:v>
      </x:c>
      <x:c r="D36" s="329" t="n">
        <x:f>D20</x:f>
        <x:v>403.532635</x:v>
      </x:c>
      <x:c r="E36" s="397" t="n">
        <x:f>'Transaction Assumptions'!D66</x:f>
        <x:v>10</x:v>
      </x:c>
      <x:c r="F36" s="328" t="n">
        <x:f>$D36/'Transaction Assumptions'!D66</x:f>
        <x:v>40.353263500000004</x:v>
      </x:c>
      <x:c r="G36" s="328" t="n">
        <x:f>$D36/'Transaction Assumptions'!D66</x:f>
        <x:v>40.353263500000004</x:v>
      </x:c>
      <x:c r="H36" s="328" t="n">
        <x:f>$D36/'Transaction Assumptions'!D66</x:f>
        <x:v>40.353263500000004</x:v>
      </x:c>
      <x:c r="I36" s="4"/>
      <x:c r="J36" s="4"/>
      <x:c r="K36" s="4"/>
      <x:c r="L36" s="4"/>
      <x:c r="M36" s="4"/>
    </x:row>
    <x:row r="37">
      <x:c r="A37" s="79"/>
      <x:c r="C37" t="str">
        <x:v>Customer relationships</x:v>
      </x:c>
      <x:c r="D37" s="329" t="n">
        <x:f>D21</x:f>
        <x:v>1452.7174859999998</x:v>
      </x:c>
      <x:c r="E37" s="397" t="n">
        <x:f>'Transaction Assumptions'!D68</x:f>
        <x:v>15</x:v>
      </x:c>
      <x:c r="F37" s="328" t="n">
        <x:f>$D37/'Transaction Assumptions'!D68</x:f>
        <x:v>96.84783239999999</x:v>
      </x:c>
      <x:c r="G37" s="328" t="n">
        <x:f>$D37/'Transaction Assumptions'!D68</x:f>
        <x:v>96.84783239999999</x:v>
      </x:c>
      <x:c r="H37" s="328" t="n">
        <x:f>$D37/'Transaction Assumptions'!D68</x:f>
        <x:v>96.84783239999999</x:v>
      </x:c>
      <x:c r="I37" s="4"/>
      <x:c r="J37" s="4"/>
      <x:c r="K37" s="4"/>
      <x:c r="L37" s="4"/>
      <x:c r="M37" s="4"/>
    </x:row>
    <x:row r="38">
      <x:c r="A38" s="79"/>
      <x:c r="C38" t="str">
        <x:v>Technology</x:v>
      </x:c>
      <x:c r="D38" s="329" t="n">
        <x:f>D22</x:f>
        <x:v>403.532635</x:v>
      </x:c>
      <x:c r="E38" s="397" t="n">
        <x:f>'Transaction Assumptions'!D70</x:f>
        <x:v>7</x:v>
      </x:c>
      <x:c r="F38" s="328" t="n">
        <x:f>$D38/'Transaction Assumptions'!D70</x:f>
        <x:v>57.64751928571429</x:v>
      </x:c>
      <x:c r="G38" s="328" t="n">
        <x:f>$D38/'Transaction Assumptions'!D70</x:f>
        <x:v>57.64751928571429</x:v>
      </x:c>
      <x:c r="H38" s="328" t="n">
        <x:f>$D38/'Transaction Assumptions'!D70</x:f>
        <x:v>57.64751928571429</x:v>
      </x:c>
      <x:c r="I38" s="4"/>
      <x:c r="J38" s="4"/>
      <x:c r="K38" s="4"/>
      <x:c r="L38" s="4"/>
      <x:c r="M38" s="4"/>
    </x:row>
    <x:row r="39">
      <x:c r="A39" s="79"/>
      <x:c r="C39" t="str">
        <x:v>Trade name</x:v>
      </x:c>
      <x:c r="D39" s="329" t="n">
        <x:f>D23</x:f>
        <x:v>242.11958099999998</x:v>
      </x:c>
      <x:c r="E39" s="397" t="n">
        <x:f>'Transaction Assumptions'!D72</x:f>
        <x:v>15</x:v>
      </x:c>
      <x:c r="F39" s="328" t="n">
        <x:f>$D39/'Transaction Assumptions'!D72</x:f>
        <x:v>16.1413054</x:v>
      </x:c>
      <x:c r="G39" s="328" t="n">
        <x:f>$D39/'Transaction Assumptions'!D72</x:f>
        <x:v>16.1413054</x:v>
      </x:c>
      <x:c r="H39" s="328" t="n">
        <x:f>$D39/'Transaction Assumptions'!D72</x:f>
        <x:v>16.1413054</x:v>
      </x:c>
      <x:c r="I39" s="4"/>
      <x:c r="J39" s="4"/>
      <x:c r="K39" s="4"/>
      <x:c r="L39" s="4"/>
      <x:c r="M39" s="4"/>
    </x:row>
    <x:row r="40">
      <x:c r="A40" s="79"/>
      <x:c r="C40" s="287" t="str">
        <x:v>Pre-tax purchase-accounting expense</x:v>
      </x:c>
      <x:c r="D40" s="287"/>
      <x:c r="E40" s="287"/>
      <x:c r="F40" s="332" t="n">
        <x:f>SUM(F35:F39)</x:f>
        <x:v>251.34318408571426</x:v>
      </x:c>
      <x:c r="G40" s="332" t="n">
        <x:f>SUM(G35:G39)</x:f>
        <x:v>210.98992058571426</x:v>
      </x:c>
      <x:c r="H40" s="332" t="n">
        <x:f>SUM(H35:H39)</x:f>
        <x:v>210.98992058571426</x:v>
      </x:c>
      <x:c r="I40" s="4"/>
      <x:c r="J40" s="4"/>
      <x:c r="K40" s="4"/>
      <x:c r="L40" s="4"/>
      <x:c r="M40" s="4"/>
    </x:row>
    <x:row r="41">
      <x:c r="A41" s="79"/>
      <x:c r="C41" t="str">
        <x:v>Tax benefit</x:v>
      </x:c>
      <x:c r="D41"/>
      <x:c r="E41"/>
      <x:c r="F41" s="328" t="n">
        <x:f>-F40*'Transaction Assumptions'!D24</x:f>
        <x:v>-57.80893233971428</x:v>
      </x:c>
      <x:c r="G41" s="328" t="n">
        <x:f>-G40*'Transaction Assumptions'!D24</x:f>
        <x:v>-48.52768173471428</x:v>
      </x:c>
      <x:c r="H41" s="328" t="n">
        <x:f>-H40*'Transaction Assumptions'!D24</x:f>
        <x:v>-48.52768173471428</x:v>
      </x:c>
      <x:c r="I41" s="4"/>
      <x:c r="J41" s="4"/>
      <x:c r="K41" s="4"/>
      <x:c r="L41" s="4"/>
      <x:c r="M41" s="4"/>
    </x:row>
    <x:row r="42">
      <x:c r="A42" s="79"/>
      <x:c r="C42" s="287" t="str">
        <x:v>After-tax purchase-accounting expense</x:v>
      </x:c>
      <x:c r="D42" s="287"/>
      <x:c r="E42" s="287"/>
      <x:c r="F42" s="332" t="n">
        <x:f>SUM(F40:F41)</x:f>
        <x:v>193.53425174599997</x:v>
      </x:c>
      <x:c r="G42" s="332" t="n">
        <x:f>SUM(G40:G41)</x:f>
        <x:v>162.462238851</x:v>
      </x:c>
      <x:c r="H42" s="332" t="n">
        <x:f>SUM(H40:H41)</x:f>
        <x:v>162.462238851</x:v>
      </x:c>
      <x:c r="I42" s="4"/>
      <x:c r="J42" s="4"/>
      <x:c r="K42" s="4"/>
      <x:c r="L42" s="4"/>
      <x:c r="M42" s="4"/>
    </x:row>
    <x:row r="43">
      <x:c r="A43" s="79"/>
      <x:c r="C43"/>
      <x:c r="D43"/>
      <x:c r="E43"/>
      <x:c r="F43"/>
      <x:c r="G43"/>
      <x:c r="H43"/>
      <x:c r="I43" s="4"/>
      <x:c r="J43" s="4"/>
      <x:c r="K43" s="4"/>
      <x:c r="L43" s="4"/>
      <x:c r="M43" s="4"/>
    </x:row>
    <x:row r="44">
      <x:c r="A44" s="79"/>
      <x:c r="C44"/>
      <x:c r="D44"/>
      <x:c r="E44"/>
      <x:c r="F44"/>
      <x:c r="G44"/>
      <x:c r="H44"/>
      <x:c r="I44" s="4"/>
      <x:c r="J44" s="4"/>
      <x:c r="K44" s="4"/>
      <x:c r="L44" s="4"/>
      <x:c r="M44" s="4"/>
    </x:row>
    <x:row r="45">
      <x:c r="A45" s="79"/>
      <x:c r="C45" s="408" t="str">
        <x:v>Step-up asset balance roll-forward</x:v>
      </x:c>
      <x:c r="D45" s="409"/>
      <x:c r="E45" s="409"/>
      <x:c r="F45" s="409"/>
      <x:c r="G45" s="409"/>
      <x:c r="H45" s="410"/>
      <x:c r="I45" s="4"/>
      <x:c r="J45" s="4"/>
      <x:c r="K45" s="4"/>
      <x:c r="L45" s="4"/>
      <x:c r="M45" s="4"/>
    </x:row>
    <x:row r="46">
      <x:c r="A46" s="79"/>
      <x:c r="C46"/>
      <x:c r="D46"/>
      <x:c r="E46"/>
      <x:c r="F46"/>
      <x:c r="G46"/>
      <x:c r="H46"/>
      <x:c r="I46" s="4"/>
      <x:c r="J46" s="4"/>
      <x:c r="K46" s="4"/>
      <x:c r="L46" s="4"/>
      <x:c r="M46" s="4"/>
    </x:row>
    <x:row r="47">
      <x:c r="A47" s="79"/>
      <x:c r="C47" s="411" t="str">
        <x:v>Asset</x:v>
      </x:c>
      <x:c r="D47" s="411" t="str">
        <x:v>At close</x:v>
      </x:c>
      <x:c r="E47" s="411" t="str">
        <x:v>FY:26E</x:v>
      </x:c>
      <x:c r="F47" s="411" t="str">
        <x:v>FY:27E</x:v>
      </x:c>
      <x:c r="G47" s="411" t="str">
        <x:v>FY:28E</x:v>
      </x:c>
      <x:c r="H47"/>
      <x:c r="I47" s="4"/>
      <x:c r="J47" s="4"/>
      <x:c r="K47" s="4"/>
      <x:c r="L47" s="4"/>
      <x:c r="M47" s="4"/>
    </x:row>
    <x:row r="48">
      <x:c r="A48" s="79"/>
      <x:c r="C48" t="str">
        <x:v>Inventory write-up</x:v>
      </x:c>
      <x:c r="D48" s="329" t="n">
        <x:f>D19</x:f>
        <x:v>40.3532635</x:v>
      </x:c>
      <x:c r="E48" s="328" t="n">
        <x:f>MAX(0,D48-F35)</x:f>
        <x:v>0</x:v>
      </x:c>
      <x:c r="F48" s="328" t="n">
        <x:f>MAX(0,E48-G35)</x:f>
        <x:v>0</x:v>
      </x:c>
      <x:c r="G48" s="328" t="n">
        <x:f>MAX(0,F48-H35)</x:f>
        <x:v>0</x:v>
      </x:c>
      <x:c r="H48"/>
      <x:c r="I48" s="4"/>
      <x:c r="J48" s="4"/>
      <x:c r="K48" s="4"/>
      <x:c r="L48" s="4"/>
      <x:c r="M48" s="4"/>
    </x:row>
    <x:row r="49">
      <x:c r="A49" s="79"/>
      <x:c r="C49" t="str">
        <x:v>PP&amp;E write-up</x:v>
      </x:c>
      <x:c r="D49" s="329" t="n">
        <x:f>D20</x:f>
        <x:v>403.532635</x:v>
      </x:c>
      <x:c r="E49" s="328" t="n">
        <x:f>MAX(0,D49-F36)</x:f>
        <x:v>363.1793715</x:v>
      </x:c>
      <x:c r="F49" s="328" t="n">
        <x:f>MAX(0,E49-G36)</x:f>
        <x:v>322.826108</x:v>
      </x:c>
      <x:c r="G49" s="328" t="n">
        <x:f>MAX(0,F49-H36)</x:f>
        <x:v>282.47284449999995</x:v>
      </x:c>
      <x:c r="H49"/>
      <x:c r="I49" s="4"/>
      <x:c r="J49" s="4"/>
      <x:c r="K49" s="4"/>
      <x:c r="L49" s="4"/>
      <x:c r="M49" s="4"/>
    </x:row>
    <x:row r="50">
      <x:c r="A50" s="79"/>
      <x:c r="C50" t="str">
        <x:v>Customer relationships</x:v>
      </x:c>
      <x:c r="D50" s="329" t="n">
        <x:f>D21</x:f>
        <x:v>1452.7174859999998</x:v>
      </x:c>
      <x:c r="E50" s="328" t="n">
        <x:f>MAX(0,D50-F37)</x:f>
        <x:v>1355.8696535999998</x:v>
      </x:c>
      <x:c r="F50" s="328" t="n">
        <x:f>MAX(0,E50-G37)</x:f>
        <x:v>1259.0218211999997</x:v>
      </x:c>
      <x:c r="G50" s="328" t="n">
        <x:f>MAX(0,F50-H37)</x:f>
        <x:v>1162.1739887999997</x:v>
      </x:c>
      <x:c r="H50"/>
      <x:c r="I50" s="4"/>
      <x:c r="J50" s="4"/>
      <x:c r="K50" s="4"/>
      <x:c r="L50" s="4"/>
      <x:c r="M50" s="4"/>
    </x:row>
    <x:row r="51">
      <x:c r="A51" s="79"/>
      <x:c r="C51" t="str">
        <x:v>Technology</x:v>
      </x:c>
      <x:c r="D51" s="329" t="n">
        <x:f>D22</x:f>
        <x:v>403.532635</x:v>
      </x:c>
      <x:c r="E51" s="328" t="n">
        <x:f>MAX(0,D51-F38)</x:f>
        <x:v>345.88511571428575</x:v>
      </x:c>
      <x:c r="F51" s="328" t="n">
        <x:f>MAX(0,E51-G38)</x:f>
        <x:v>288.23759642857146</x:v>
      </x:c>
      <x:c r="G51" s="328" t="n">
        <x:f>MAX(0,F51-H38)</x:f>
        <x:v>230.59007714285718</x:v>
      </x:c>
      <x:c r="H51"/>
      <x:c r="I51" s="4"/>
      <x:c r="J51" s="4"/>
      <x:c r="K51" s="4"/>
      <x:c r="L51" s="4"/>
      <x:c r="M51" s="4"/>
    </x:row>
    <x:row r="52">
      <x:c r="A52" s="79"/>
      <x:c r="C52" t="str">
        <x:v>Trade name</x:v>
      </x:c>
      <x:c r="D52" s="329" t="n">
        <x:f>D23</x:f>
        <x:v>242.11958099999998</x:v>
      </x:c>
      <x:c r="E52" s="328" t="n">
        <x:f>MAX(0,D52-F39)</x:f>
        <x:v>225.9782756</x:v>
      </x:c>
      <x:c r="F52" s="328" t="n">
        <x:f>MAX(0,E52-G39)</x:f>
        <x:v>209.8369702</x:v>
      </x:c>
      <x:c r="G52" s="328" t="n">
        <x:f>MAX(0,F52-H39)</x:f>
        <x:v>193.6956648</x:v>
      </x:c>
      <x:c r="H52"/>
      <x:c r="I52" s="4"/>
      <x:c r="J52" s="4"/>
      <x:c r="K52" s="4"/>
      <x:c r="L52" s="4"/>
      <x:c r="M52" s="4"/>
    </x:row>
    <x:row r="53">
      <x:c r="A53" s="79"/>
      <x:c r="C53" s="287" t="str">
        <x:v>Total step-up assets</x:v>
      </x:c>
      <x:c r="D53" s="332" t="n">
        <x:f>SUM(D48:D52)</x:f>
        <x:v>2542.2556004999997</x:v>
      </x:c>
      <x:c r="E53" s="332" t="n">
        <x:f>SUM(E48:E52)</x:f>
        <x:v>2290.9124164142854</x:v>
      </x:c>
      <x:c r="F53" s="332" t="n">
        <x:f>SUM(F48:F52)</x:f>
        <x:v>2079.9224958285713</x:v>
      </x:c>
      <x:c r="G53" s="332" t="n">
        <x:f>SUM(G48:G52)</x:f>
        <x:v>1868.932575242857</x:v>
      </x:c>
      <x:c r="H53" s="287"/>
      <x:c r="I53" s="4"/>
      <x:c r="J53" s="4"/>
      <x:c r="K53" s="4"/>
      <x:c r="L53" s="4"/>
      <x:c r="M53" s="4"/>
    </x:row>
    <x:row r="54">
      <x:c r="A54" s="79"/>
      <x:c r="C54" t="str">
        <x:v>Goodwill</x:v>
      </x:c>
      <x:c r="D54" s="329" t="n">
        <x:f>$D$27</x:f>
        <x:v>3098.1158876149993</x:v>
      </x:c>
      <x:c r="E54" s="328" t="n">
        <x:f>$D$27</x:f>
        <x:v>3098.1158876149993</x:v>
      </x:c>
      <x:c r="F54" s="328" t="n">
        <x:f>$D$27</x:f>
        <x:v>3098.1158876149993</x:v>
      </x:c>
      <x:c r="G54" s="328" t="n">
        <x:f>$D$27</x:f>
        <x:v>3098.1158876149993</x:v>
      </x:c>
      <x:c r="H54"/>
      <x:c r="I54" s="4"/>
      <x:c r="J54" s="4"/>
      <x:c r="K54" s="4"/>
      <x:c r="L54" s="4"/>
      <x:c r="M54" s="4"/>
    </x:row>
    <x:row r="55">
      <x:c r="A55" s="79"/>
      <x:c r="C55" s="287" t="str">
        <x:v>Total purchase-accounting assets</x:v>
      </x:c>
      <x:c r="D55" s="332" t="n">
        <x:f>SUM(D53:D54)</x:f>
        <x:v>5640.371488114999</x:v>
      </x:c>
      <x:c r="E55" s="332" t="n">
        <x:f>SUM(E53:E54)</x:f>
        <x:v>5389.028304029285</x:v>
      </x:c>
      <x:c r="F55" s="332" t="n">
        <x:f>SUM(F53:F54)</x:f>
        <x:v>5178.038383443571</x:v>
      </x:c>
      <x:c r="G55" s="332" t="n">
        <x:f>SUM(G53:G54)</x:f>
        <x:v>4967.048462857856</x:v>
      </x:c>
      <x:c r="H55" s="287"/>
      <x:c r="I55" s="4"/>
      <x:c r="J55" s="4"/>
      <x:c r="K55" s="4"/>
      <x:c r="L55" s="4"/>
      <x:c r="M55" s="4"/>
    </x:row>
    <x:row r="56">
      <x:c r="A56" s="79"/>
      <x:c r="C56"/>
      <x:c r="D56"/>
      <x:c r="E56"/>
      <x:c r="F56"/>
      <x:c r="G56"/>
      <x:c r="H56"/>
      <x:c r="I56" s="4"/>
      <x:c r="J56" s="4"/>
      <x:c r="K56" s="4"/>
      <x:c r="L56" s="4"/>
      <x:c r="M56" s="4"/>
    </x:row>
    <x:row r="57">
      <x:c r="A57" s="79"/>
      <x:c r="C57"/>
      <x:c r="D57"/>
      <x:c r="E57"/>
      <x:c r="F57"/>
      <x:c r="G57"/>
      <x:c r="H57"/>
      <x:c r="I57" s="4"/>
      <x:c r="J57" s="4"/>
      <x:c r="K57" s="4"/>
      <x:c r="L57" s="4"/>
      <x:c r="M57" s="4"/>
    </x:row>
    <x:row r="58">
      <x:c r="A58" s="79"/>
      <x:c r="C58" s="298" t="str">
        <x:v>Basis</x:v>
      </x:c>
      <x:c r="D58" s="3" t="str">
        <x:v>The allocation is illustrative and uses percentages of equity purchase price because no transaction-specific valuation report is available.</x:v>
      </x:c>
      <x:c r="E58" s="3"/>
      <x:c r="F58" s="3"/>
      <x:c r="G58" s="3"/>
      <x:c r="H58" s="3"/>
      <x:c r="I58" s="4"/>
      <x:c r="J58" s="4"/>
      <x:c r="K58" s="4"/>
      <x:c r="L58" s="4"/>
      <x:c r="M58" s="4"/>
    </x:row>
    <x:row r="59">
      <x:c r="A59" s="79"/>
      <x:c r="C59" s="298" t="str">
        <x:v>Goodwill</x:v>
      </x:c>
      <x:c r="D59" s="3" t="str">
        <x:v>Goodwill is the residual after reported book equity, identifiable write-ups and the related deferred-tax liability.</x:v>
      </x:c>
      <x:c r="E59" s="3"/>
      <x:c r="F59" s="3"/>
      <x:c r="G59" s="3"/>
      <x:c r="H59" s="3"/>
      <x:c r="I59" s="4"/>
      <x:c r="J59" s="4"/>
      <x:c r="K59" s="4"/>
      <x:c r="L59" s="4"/>
      <x:c r="M59" s="4"/>
    </x:row>
    <x:row r="60">
      <x:c r="A60" s="79"/>
      <x:c r="C60" s="298" t="str">
        <x:v>Expense timing</x:v>
      </x:c>
      <x:c r="D60" s="3" t="str">
        <x:v>Inventory step-up is expensed in FY2026. Other step-ups use straight-line depreciation or amortisation.</x:v>
      </x:c>
      <x:c r="E60" s="3"/>
      <x:c r="F60" s="3"/>
      <x:c r="G60" s="3"/>
      <x:c r="H60" s="3"/>
      <x:c r="I60" s="4"/>
      <x:c r="J60" s="4"/>
      <x:c r="K60" s="4"/>
      <x:c r="L60" s="4"/>
      <x:c r="M60" s="4"/>
    </x:row>
    <x:row r="61">
      <x:c r="A61" s="79"/>
      <x:c r="C61" s="298" t="str">
        <x:v>Tax treatment</x:v>
      </x:c>
      <x:c r="D61" s="3" t="str">
        <x:v>The model applies the transaction tax rate to all identifiable write-ups and purchase-accounting expense.</x:v>
      </x:c>
      <x:c r="E61" s="3"/>
      <x:c r="F61" s="3"/>
      <x:c r="G61" s="3"/>
      <x:c r="H61" s="3"/>
      <x:c r="I61" s="4"/>
      <x:c r="J61" s="4"/>
      <x:c r="K61" s="4"/>
      <x:c r="L61" s="4"/>
      <x:c r="M61" s="4"/>
    </x:row>
    <x:row r="62">
      <x:c r="A62" s="79"/>
      <x:c r="C62"/>
      <x:c r="D62"/>
      <x:c r="E62"/>
      <x:c r="F62"/>
      <x:c r="G62"/>
      <x:c r="H62"/>
      <x:c r="I62" s="4"/>
      <x:c r="J62" s="4"/>
      <x:c r="K62" s="4"/>
      <x:c r="L62" s="4"/>
      <x:c r="M62" s="4"/>
    </x:row>
    <x:row r="63">
      <x:c r="A63" s="79"/>
      <x:c r="C63"/>
      <x:c r="D63"/>
      <x:c r="E63"/>
      <x:c r="F63"/>
      <x:c r="G63"/>
      <x:c r="H63"/>
      <x:c r="I63" s="4"/>
      <x:c r="J63" s="4"/>
      <x:c r="K63" s="4"/>
      <x:c r="L63" s="4"/>
      <x:c r="M63" s="4"/>
    </x:row>
    <x:row r="64">
      <x:c r="A64" s="79"/>
      <x:c r="C64"/>
      <x:c r="D64"/>
      <x:c r="E64"/>
      <x:c r="F64"/>
      <x:c r="G64"/>
      <x:c r="H64"/>
      <x:c r="I64" s="4"/>
      <x:c r="J64" s="4"/>
      <x:c r="K64" s="4"/>
      <x:c r="L64" s="4"/>
      <x:c r="M64" s="4"/>
    </x:row>
    <x:row r="65">
      <x:c r="A65" s="79"/>
      <x:c r="C65"/>
      <x:c r="D65"/>
      <x:c r="E65"/>
      <x:c r="F65"/>
      <x:c r="G65"/>
      <x:c r="H65"/>
      <x:c r="I65" s="4"/>
      <x:c r="J65" s="4"/>
      <x:c r="K65" s="4"/>
      <x:c r="L65" s="4"/>
      <x:c r="M65" s="4"/>
    </x:row>
    <x:row r="66">
      <x:c r="A66" s="79"/>
      <x:c r="C66"/>
      <x:c r="D66"/>
      <x:c r="E66"/>
      <x:c r="F66"/>
      <x:c r="G66"/>
      <x:c r="H66"/>
      <x:c r="I66" s="4"/>
      <x:c r="J66" s="4"/>
      <x:c r="K66" s="4"/>
      <x:c r="L66" s="4"/>
      <x:c r="M66" s="4"/>
    </x:row>
    <x:row r="67">
      <x:c r="A67" s="79"/>
      <x:c r="C67"/>
      <x:c r="D67"/>
      <x:c r="E67"/>
      <x:c r="F67"/>
      <x:c r="G67"/>
      <x:c r="H67"/>
      <x:c r="I67" s="4"/>
      <x:c r="J67" s="4"/>
      <x:c r="K67" s="4"/>
      <x:c r="L67" s="4"/>
      <x:c r="M67" s="4"/>
    </x:row>
    <x:row r="68">
      <x:c r="A68" s="79"/>
      <x:c r="C68"/>
      <x:c r="D68"/>
      <x:c r="E68"/>
      <x:c r="F68"/>
      <x:c r="G68"/>
      <x:c r="H68"/>
      <x:c r="I68" s="4"/>
      <x:c r="J68" s="4"/>
      <x:c r="K68" s="4"/>
      <x:c r="L68" s="4"/>
      <x:c r="M68" s="4"/>
    </x:row>
    <x:row r="69">
      <x:c r="A69" s="79"/>
      <x:c r="C69"/>
      <x:c r="D69"/>
      <x:c r="E69"/>
      <x:c r="F69"/>
      <x:c r="G69"/>
      <x:c r="H69"/>
      <x:c r="I69" s="4"/>
      <x:c r="J69" s="4"/>
      <x:c r="K69" s="4"/>
      <x:c r="L69" s="4"/>
      <x:c r="M69" s="4"/>
    </x:row>
    <x:row r="70">
      <x:c r="A70" s="79"/>
      <x:c r="C70"/>
      <x:c r="D70"/>
      <x:c r="E70"/>
      <x:c r="F70"/>
      <x:c r="G70"/>
      <x:c r="H70"/>
      <x:c r="I70" s="4"/>
      <x:c r="J70" s="4"/>
      <x:c r="K70" s="4"/>
      <x:c r="L70" s="4"/>
      <x:c r="M70" s="4"/>
    </x:row>
    <x:row r="71">
      <x:c r="A71" s="79"/>
      <x:c r="C71"/>
      <x:c r="D71"/>
      <x:c r="E71"/>
      <x:c r="F71"/>
      <x:c r="G71"/>
      <x:c r="H71"/>
      <x:c r="I71" s="4"/>
      <x:c r="J71" s="4"/>
      <x:c r="K71" s="4"/>
      <x:c r="L71" s="4"/>
      <x:c r="M71" s="4"/>
    </x:row>
    <x:row r="72">
      <x:c r="A72" s="79"/>
      <x:c r="C72"/>
      <x:c r="D72"/>
      <x:c r="E72"/>
      <x:c r="F72"/>
      <x:c r="G72"/>
      <x:c r="H72"/>
      <x:c r="I72" s="4"/>
      <x:c r="J72" s="4"/>
      <x:c r="K72" s="4"/>
      <x:c r="L72" s="4"/>
      <x:c r="M72" s="4"/>
    </x:row>
    <x:row r="73">
      <x:c r="A73" s="79"/>
      <x:c r="C73"/>
      <x:c r="D73"/>
      <x:c r="E73"/>
      <x:c r="F73"/>
      <x:c r="G73"/>
      <x:c r="H73"/>
      <x:c r="I73" s="4"/>
      <x:c r="J73" s="4"/>
      <x:c r="K73" s="4"/>
      <x:c r="L73" s="4"/>
      <x:c r="M73" s="4"/>
    </x:row>
    <x:row r="74">
      <x:c r="A74" s="79"/>
      <x:c r="C74"/>
      <x:c r="D74"/>
      <x:c r="E74"/>
      <x:c r="F74"/>
      <x:c r="G74"/>
      <x:c r="H74"/>
      <x:c r="I74" s="4"/>
      <x:c r="J74" s="4"/>
      <x:c r="K74" s="4"/>
      <x:c r="L74" s="4"/>
      <x:c r="M74" s="4"/>
    </x:row>
    <x:row r="75">
      <x:c r="A75" s="79"/>
      <x:c r="C75"/>
      <x:c r="D75"/>
      <x:c r="E75"/>
      <x:c r="F75"/>
      <x:c r="G75"/>
      <x:c r="H75"/>
      <x:c r="I75" s="4"/>
      <x:c r="J75" s="4"/>
      <x:c r="K75" s="4"/>
      <x:c r="L75" s="4"/>
      <x:c r="M75" s="4"/>
    </x:row>
    <x:row r="76">
      <x:c r="A76" s="79"/>
      <x:c r="C76"/>
      <x:c r="D76"/>
      <x:c r="E76"/>
      <x:c r="F76"/>
      <x:c r="G76"/>
      <x:c r="H76"/>
      <x:c r="I76" s="4"/>
      <x:c r="J76" s="4"/>
      <x:c r="K76" s="4"/>
      <x:c r="L76" s="4"/>
      <x:c r="M76" s="4"/>
    </x:row>
    <x:row r="77">
      <x:c r="A77" s="79"/>
      <x:c r="C77"/>
      <x:c r="D77"/>
      <x:c r="E77"/>
      <x:c r="F77"/>
      <x:c r="G77"/>
      <x:c r="H77"/>
      <x:c r="I77" s="4"/>
      <x:c r="J77" s="4"/>
      <x:c r="K77" s="4"/>
      <x:c r="L77" s="4"/>
      <x:c r="M77" s="4"/>
    </x:row>
    <x:row r="78">
      <x:c r="A78" s="79"/>
      <x:c r="C78"/>
      <x:c r="D78"/>
      <x:c r="E78"/>
      <x:c r="F78"/>
      <x:c r="G78"/>
      <x:c r="H78"/>
      <x:c r="I78" s="4"/>
      <x:c r="J78" s="4"/>
      <x:c r="K78" s="4"/>
      <x:c r="L78" s="4"/>
      <x:c r="M78" s="4"/>
    </x:row>
    <x:row r="79">
      <x:c r="A79" s="79"/>
      <x:c r="C79"/>
      <x:c r="D79"/>
      <x:c r="E79"/>
      <x:c r="F79"/>
      <x:c r="G79"/>
      <x:c r="H79"/>
      <x:c r="I79" s="4"/>
      <x:c r="J79" s="4"/>
      <x:c r="K79" s="4"/>
      <x:c r="L79" s="4"/>
      <x:c r="M79" s="4"/>
    </x:row>
    <x:row r="80">
      <x:c r="A80" s="79"/>
      <x:c r="C80"/>
      <x:c r="D80"/>
      <x:c r="E80"/>
      <x:c r="F80"/>
      <x:c r="G80"/>
      <x:c r="H80"/>
      <x:c r="I80" s="4"/>
      <x:c r="J80" s="4"/>
      <x:c r="K80" s="4"/>
      <x:c r="L80" s="4"/>
      <x:c r="M80" s="4"/>
    </x:row>
    <x:row r="81">
      <x:c r="A81" s="79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</x:row>
    <x:row r="82">
      <x:c r="A82" s="79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</x:row>
    <x:row r="83">
      <x:c r="A83" s="79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>
      <x:c r="A84" s="79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</x:row>
    <x:row r="85">
      <x:c r="A85" s="79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</x:row>
    <x:row r="86">
      <x:c r="A86" s="79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</x:row>
    <x:row r="87">
      <x:c r="A87" s="79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</x:row>
    <x:row r="88">
      <x:c r="A88" s="79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</x:row>
    <x:row r="89">
      <x:c r="A89" s="79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</x:row>
    <x:row r="90">
      <x:c r="A90" s="79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</x:row>
    <x:row r="91">
      <x:c r="A91" s="79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>
      <x:c r="A92" s="79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>
      <x:c r="A93" s="79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79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>
      <x:c r="A95" s="79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>
      <x:c r="A96" s="79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79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79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79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79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Pro forma income statement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Combined earnings including financing, synergies and purchase-accounting effects | USD in millions except per-share data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434" t="str">
        <x:v>Pro forma operating profit</x:v>
      </x:c>
      <x:c r="D6" s="435"/>
      <x:c r="E6" s="435"/>
      <x:c r="F6" s="435"/>
      <x:c r="G6" s="436"/>
      <x:c r="H6" s="4"/>
      <x:c r="I6" s="4"/>
      <x:c r="J6" s="4"/>
      <x:c r="K6" s="4"/>
      <x:c r="L6" s="4"/>
      <x:c r="M6" s="4"/>
    </x:row>
    <x:row r="7">
      <x:c r="A7" s="79"/>
      <x:c r="C7"/>
      <x:c r="D7"/>
      <x:c r="E7"/>
      <x:c r="F7"/>
      <x:c r="G7"/>
      <x:c r="H7" s="4"/>
      <x:c r="I7" s="4"/>
      <x:c r="J7" s="4"/>
      <x:c r="K7" s="4"/>
      <x:c r="L7" s="4"/>
      <x:c r="M7" s="4"/>
    </x:row>
    <x:row r="8">
      <x:c r="A8" s="79"/>
      <x:c r="C8" s="439" t="str">
        <x:v>Metric</x:v>
      </x:c>
      <x:c r="D8" s="439" t="str">
        <x:v>FY:26E</x:v>
      </x:c>
      <x:c r="E8" s="439" t="str">
        <x:v>FY:27E</x:v>
      </x:c>
      <x:c r="F8" s="439" t="str">
        <x:v>FY:28E</x:v>
      </x:c>
      <x:c r="G8" s="439" t="str">
        <x:v>Source / status</x:v>
      </x:c>
      <x:c r="H8" s="4"/>
      <x:c r="I8" s="4"/>
      <x:c r="J8" s="4"/>
      <x:c r="K8" s="4"/>
      <x:c r="L8" s="4"/>
      <x:c r="M8" s="4"/>
    </x:row>
    <x:row r="9">
      <x:c r="A9" s="79"/>
      <x:c r="C9" t="str">
        <x:v>UPS revenue</x:v>
      </x:c>
      <x:c r="D9" s="329" t="n">
        <x:f>'Standalone Forecasts'!G12</x:f>
        <x:v>89724.932</x:v>
      </x:c>
      <x:c r="E9" s="329" t="n">
        <x:f>'Standalone Forecasts'!H12</x:f>
        <x:v>91968.05529999999</x:v>
      </x:c>
      <x:c r="F9" s="329" t="n">
        <x:f>'Standalone Forecasts'!I12</x:f>
        <x:v>94727.09695899999</x:v>
      </x:c>
      <x:c r="G9" t="str">
        <x:v>Standalone Forecasts</x:v>
      </x:c>
      <x:c r="H9" s="4"/>
      <x:c r="I9" s="4"/>
      <x:c r="J9" s="4"/>
      <x:c r="K9" s="4"/>
      <x:c r="L9" s="4"/>
      <x:c r="M9" s="4"/>
    </x:row>
    <x:row r="10">
      <x:c r="A10" s="79"/>
      <x:c r="C10" t="str">
        <x:v>GXO revenue</x:v>
      </x:c>
      <x:c r="D10" s="329" t="n">
        <x:f>'Standalone Forecasts'!G28*$D$20</x:f>
        <x:v>6979.826986301369</x:v>
      </x:c>
      <x:c r="E10" s="329" t="n">
        <x:f>'Standalone Forecasts'!H28</x:f>
        <x:v>14459.5605</x:v>
      </x:c>
      <x:c r="F10" s="329" t="n">
        <x:f>'Standalone Forecasts'!I28</x:f>
        <x:v>15182.538525</x:v>
      </x:c>
      <x:c r="G10" t="str">
        <x:v>Standalone Forecasts</x:v>
      </x:c>
      <x:c r="H10" s="4"/>
      <x:c r="I10" s="4"/>
      <x:c r="J10" s="4"/>
      <x:c r="K10" s="4"/>
      <x:c r="L10" s="4"/>
      <x:c r="M10" s="4"/>
    </x:row>
    <x:row r="11">
      <x:c r="A11" s="79"/>
      <x:c r="C11" s="287" t="str">
        <x:v>Pro forma revenue</x:v>
      </x:c>
      <x:c r="D11" s="332" t="n">
        <x:f>SUM(D9:D10)</x:f>
        <x:v>96704.75898630137</x:v>
      </x:c>
      <x:c r="E11" s="332" t="n">
        <x:f>SUM(E9:E10)</x:f>
        <x:v>106427.6158</x:v>
      </x:c>
      <x:c r="F11" s="332" t="n">
        <x:f>SUM(F9:F10)</x:f>
        <x:v>109909.63548399998</x:v>
      </x:c>
      <x:c r="G11" s="287" t="str">
        <x:v>Calculated</x:v>
      </x:c>
      <x:c r="H11" s="4"/>
      <x:c r="I11" s="4"/>
      <x:c r="J11" s="4"/>
      <x:c r="K11" s="4"/>
      <x:c r="L11" s="4"/>
      <x:c r="M11" s="4"/>
    </x:row>
    <x:row r="12">
      <x:c r="A12" s="79"/>
      <x:c r="C12" t="str">
        <x:v>UPS adjusted operating profit</x:v>
      </x:c>
      <x:c r="D12" s="329" t="n">
        <x:f>'Standalone Forecasts'!G14</x:f>
        <x:v>8613.593472</x:v>
      </x:c>
      <x:c r="E12" s="329" t="n">
        <x:f>'Standalone Forecasts'!H14</x:f>
        <x:v>9104.8374747</x:v>
      </x:c>
      <x:c r="F12" s="329" t="n">
        <x:f>'Standalone Forecasts'!I14</x:f>
        <x:v>9662.163889817999</x:v>
      </x:c>
      <x:c r="G12" t="str">
        <x:v>Standalone Forecasts</x:v>
      </x:c>
      <x:c r="H12" s="4"/>
      <x:c r="I12" s="4"/>
      <x:c r="J12" s="4"/>
      <x:c r="K12" s="4"/>
      <x:c r="L12" s="4"/>
      <x:c r="M12" s="4"/>
    </x:row>
    <x:row r="13">
      <x:c r="A13" s="79"/>
      <x:c r="C13" t="str">
        <x:v>GXO adjusted operating income</x:v>
      </x:c>
      <x:c r="D13" s="329" t="n">
        <x:f>'Standalone Forecasts'!G33*$D$20</x:f>
        <x:v>237.31411753424655</x:v>
      </x:c>
      <x:c r="E13" s="329" t="n">
        <x:f>'Standalone Forecasts'!H33</x:f>
        <x:v>535.0037384999998</x:v>
      </x:c>
      <x:c r="F13" s="329" t="n">
        <x:f>'Standalone Forecasts'!I33</x:f>
        <x:v>607.3015409999998</x:v>
      </x:c>
      <x:c r="G13" t="str">
        <x:v>Standalone Forecasts</x:v>
      </x:c>
      <x:c r="H13" s="4"/>
      <x:c r="I13" s="4"/>
      <x:c r="J13" s="4"/>
      <x:c r="K13" s="4"/>
      <x:c r="L13" s="4"/>
      <x:c r="M13" s="4"/>
    </x:row>
    <x:row r="14">
      <x:c r="A14" s="79"/>
      <x:c r="C14" t="str">
        <x:v>Cost synergies</x:v>
      </x:c>
      <x:c r="D14" s="329" t="n">
        <x:f>'Financing'!E25*$D$20</x:f>
        <x:v>47.01027397260274</x:v>
      </x:c>
      <x:c r="E14" s="329" t="n">
        <x:f>'Financing'!F25</x:f>
        <x:v>198.75</x:v>
      </x:c>
      <x:c r="F14" s="329" t="n">
        <x:f>'Financing'!G25</x:f>
        <x:v>265</x:v>
      </x:c>
      <x:c r="G14" t="str">
        <x:v>A09–A12</x:v>
      </x:c>
      <x:c r="H14" s="4"/>
      <x:c r="I14" s="4"/>
      <x:c r="J14" s="4"/>
      <x:c r="K14" s="4"/>
      <x:c r="L14" s="4"/>
      <x:c r="M14" s="4"/>
    </x:row>
    <x:row r="15">
      <x:c r="A15" s="79"/>
      <x:c r="C15" t="str">
        <x:v>Purchase-accounting expense</x:v>
      </x:c>
      <x:c r="D15" s="329" t="n">
        <x:f>-'Purchase Accounting'!F40*$D$20</x:f>
        <x:v>-127.39312070097847</x:v>
      </x:c>
      <x:c r="E15" s="329" t="n">
        <x:f>-'Purchase Accounting'!G40</x:f>
        <x:v>-210.98992058571426</x:v>
      </x:c>
      <x:c r="F15" s="329" t="n">
        <x:f>-'Purchase Accounting'!H40</x:f>
        <x:v>-210.98992058571426</x:v>
      </x:c>
      <x:c r="G15" t="str">
        <x:v>Purchase Accounting</x:v>
      </x:c>
      <x:c r="H15" s="4"/>
      <x:c r="I15" s="4"/>
      <x:c r="J15" s="4"/>
      <x:c r="K15" s="4"/>
      <x:c r="L15" s="4"/>
      <x:c r="M15" s="4"/>
    </x:row>
    <x:row r="16">
      <x:c r="A16" s="79"/>
      <x:c r="C16" t="str">
        <x:v>Integration costs</x:v>
      </x:c>
      <x:c r="D16" s="329" t="n">
        <x:f>'Financing'!E30*$D$20</x:f>
        <x:v>-100.73630136986301</x:v>
      </x:c>
      <x:c r="E16" s="329" t="n">
        <x:f>'Financing'!F30</x:f>
        <x:v>-139.125</x:v>
      </x:c>
      <x:c r="F16" s="329" t="n">
        <x:f>'Financing'!G30</x:f>
        <x:v>-59.625</x:v>
      </x:c>
      <x:c r="G16" t="str">
        <x:v>A13 / A26–A28</x:v>
      </x:c>
      <x:c r="H16" s="4"/>
      <x:c r="I16" s="4"/>
      <x:c r="J16" s="4"/>
      <x:c r="K16" s="4"/>
      <x:c r="L16" s="4"/>
      <x:c r="M16" s="4"/>
    </x:row>
    <x:row r="17">
      <x:c r="A17" s="79"/>
      <x:c r="C17" s="287" t="str">
        <x:v>Pro forma operating profit</x:v>
      </x:c>
      <x:c r="D17" s="332" t="n">
        <x:f>SUM(D12:D16)</x:f>
        <x:v>8669.788441436007</x:v>
      </x:c>
      <x:c r="E17" s="332" t="n">
        <x:f>SUM(E12:E16)</x:f>
        <x:v>9488.476292614285</x:v>
      </x:c>
      <x:c r="F17" s="332" t="n">
        <x:f>SUM(F12:F16)</x:f>
        <x:v>10263.850510232285</x:v>
      </x:c>
      <x:c r="G17" s="287" t="str">
        <x:v>Calculated</x:v>
      </x:c>
      <x:c r="H17" s="4"/>
      <x:c r="I17" s="4"/>
      <x:c r="J17" s="4"/>
      <x:c r="K17" s="4"/>
      <x:c r="L17" s="4"/>
      <x:c r="M17" s="4"/>
    </x:row>
    <x:row r="18">
      <x:c r="A18" s="79"/>
      <x:c r="C18" t="str">
        <x:v>Pro forma operating margin</x:v>
      </x:c>
      <x:c r="D18" s="130" t="n">
        <x:f>D17/D11</x:f>
        <x:v>0.08965213845022993</x:v>
      </x:c>
      <x:c r="E18" s="130" t="n">
        <x:f>E17/E11</x:f>
        <x:v>0.08915426904277494</x:v>
      </x:c>
      <x:c r="F18" s="130" t="n">
        <x:f>F17/F11</x:f>
        <x:v>0.09338444682337645</x:v>
      </x:c>
      <x:c r="G18" t="str">
        <x:v>Calculated</x:v>
      </x:c>
      <x:c r="H18" s="4"/>
      <x:c r="I18" s="4"/>
      <x:c r="J18" s="4"/>
      <x:c r="K18" s="4"/>
      <x:c r="L18" s="4"/>
      <x:c r="M18" s="4"/>
    </x:row>
    <x:row r="19">
      <x:c r="A19" s="79"/>
      <x:c r="C19" t="str">
        <x:v>Incremental operating profit</x:v>
      </x:c>
      <x:c r="D19" s="328" t="n">
        <x:f>D17-D12</x:f>
        <x:v>56.19496943600643</x:v>
      </x:c>
      <x:c r="E19" s="328" t="n">
        <x:f>E17-E12</x:f>
        <x:v>383.638817914285</x:v>
      </x:c>
      <x:c r="F19" s="328" t="n">
        <x:f>F17-F12</x:f>
        <x:v>601.6866204142862</x:v>
      </x:c>
      <x:c r="G19" t="str">
        <x:v>Calculated</x:v>
      </x:c>
      <x:c r="H19" s="4"/>
      <x:c r="I19" s="4"/>
      <x:c r="J19" s="4"/>
      <x:c r="K19" s="4"/>
      <x:c r="L19" s="4"/>
      <x:c r="M19" s="4"/>
    </x:row>
    <x:row r="20">
      <x:c r="A20" s="79"/>
      <x:c r="C20" t="str">
        <x:v>Ownership factor</x:v>
      </x:c>
      <x:c r="D20" s="601" t="n">
        <x:f>'Transaction Assumptions'!$G$92</x:f>
        <x:v>0.5068493150684932</x:v>
      </x:c>
      <x:c r="E20" s="601" t="n">
        <x:v>1</x:v>
      </x:c>
      <x:c r="F20" s="601" t="n">
        <x:v>1</x:v>
      </x:c>
      <x:c r="G20"/>
      <x:c r="H20" s="4"/>
      <x:c r="I20" s="4"/>
      <x:c r="J20" s="4"/>
      <x:c r="K20" s="4"/>
      <x:c r="L20" s="4"/>
      <x:c r="M20" s="4"/>
    </x:row>
    <x:row r="21">
      <x:c r="A21" s="79"/>
      <x:c r="C21"/>
      <x:c r="D21"/>
      <x:c r="E21"/>
      <x:c r="F21"/>
      <x:c r="G21"/>
      <x:c r="H21" s="4"/>
      <x:c r="I21" s="4"/>
      <x:c r="J21" s="4"/>
      <x:c r="K21" s="4"/>
      <x:c r="L21" s="4"/>
      <x:c r="M21" s="4"/>
    </x:row>
    <x:row r="22">
      <x:c r="A22" s="79"/>
      <x:c r="C22" s="434" t="str">
        <x:v>Pro forma net income and EPS</x:v>
      </x:c>
      <x:c r="D22" s="435"/>
      <x:c r="E22" s="435"/>
      <x:c r="F22" s="435"/>
      <x:c r="G22" s="436"/>
      <x:c r="H22" s="4"/>
      <x:c r="I22" s="4"/>
      <x:c r="J22" s="4"/>
      <x:c r="K22" s="4"/>
      <x:c r="L22" s="4"/>
      <x:c r="M22" s="4"/>
    </x:row>
    <x:row r="23">
      <x:c r="A23" s="79"/>
      <x:c r="C23"/>
      <x:c r="D23"/>
      <x:c r="E23"/>
      <x:c r="F23"/>
      <x:c r="G23"/>
      <x:c r="H23" s="4"/>
      <x:c r="I23" s="4"/>
      <x:c r="J23" s="4"/>
      <x:c r="K23" s="4"/>
      <x:c r="L23" s="4"/>
      <x:c r="M23" s="4"/>
    </x:row>
    <x:row r="24">
      <x:c r="A24" s="79"/>
      <x:c r="C24" s="439" t="str">
        <x:v>Metric</x:v>
      </x:c>
      <x:c r="D24" s="439" t="str">
        <x:v>FY:26E</x:v>
      </x:c>
      <x:c r="E24" s="439" t="str">
        <x:v>FY:27E</x:v>
      </x:c>
      <x:c r="F24" s="439" t="str">
        <x:v>FY:28E</x:v>
      </x:c>
      <x:c r="G24" s="439" t="str">
        <x:v>Source / status</x:v>
      </x:c>
      <x:c r="H24" s="4"/>
      <x:c r="I24" s="4"/>
      <x:c r="J24" s="4"/>
      <x:c r="K24" s="4"/>
      <x:c r="L24" s="4"/>
      <x:c r="M24" s="4"/>
    </x:row>
    <x:row r="25">
      <x:c r="A25" s="79"/>
      <x:c r="C25" t="str">
        <x:v>UPS standalone net income</x:v>
      </x:c>
      <x:c r="D25" s="329" t="n">
        <x:f>'Standalone Forecasts'!G19</x:f>
        <x:v>5832.12058</x:v>
      </x:c>
      <x:c r="E25" s="329" t="n">
        <x:f>'Standalone Forecasts'!H19</x:f>
        <x:v>6161.8597051</x:v>
      </x:c>
      <x:c r="F25" s="329" t="n">
        <x:f>'Standalone Forecasts'!I19</x:f>
        <x:v>6536.169690170999</x:v>
      </x:c>
      <x:c r="G25" t="str">
        <x:v>Standalone Forecasts</x:v>
      </x:c>
      <x:c r="H25" s="4"/>
      <x:c r="I25" s="4"/>
      <x:c r="J25" s="4"/>
      <x:c r="K25" s="4"/>
      <x:c r="L25" s="4"/>
      <x:c r="M25" s="4"/>
    </x:row>
    <x:row r="26">
      <x:c r="A26" s="79"/>
      <x:c r="C26" t="str">
        <x:v>GXO standalone net income</x:v>
      </x:c>
      <x:c r="D26" s="329" t="n">
        <x:f>'Standalone Forecasts'!G35*$D$20</x:f>
        <x:v>176.58962275342466</x:v>
      </x:c>
      <x:c r="E26" s="329" t="n">
        <x:f>'Standalone Forecasts'!H35</x:f>
        <x:v>390.40813349999996</x:v>
      </x:c>
      <x:c r="F26" s="329" t="n">
        <x:f>'Standalone Forecasts'!I35</x:f>
        <x:v>440.29361722500005</x:v>
      </x:c>
      <x:c r="G26" t="str">
        <x:v>Standalone Forecasts</x:v>
      </x:c>
      <x:c r="H26" s="4"/>
      <x:c r="I26" s="4"/>
      <x:c r="J26" s="4"/>
      <x:c r="K26" s="4"/>
      <x:c r="L26" s="4"/>
      <x:c r="M26" s="4"/>
    </x:row>
    <x:row r="27">
      <x:c r="A27" s="79"/>
      <x:c r="C27" t="str">
        <x:v>After-tax cost synergies</x:v>
      </x:c>
      <x:c r="D27" s="329" t="n">
        <x:f>D14*(1-'Transaction Assumptions'!$D$24)</x:f>
        <x:v>36.19791095890411</x:v>
      </x:c>
      <x:c r="E27" s="329" t="n">
        <x:f>E14*(1-'Transaction Assumptions'!$D$24)</x:f>
        <x:v>153.0375</x:v>
      </x:c>
      <x:c r="F27" s="329" t="n">
        <x:f>F14*(1-'Transaction Assumptions'!$D$24)</x:f>
        <x:v>204.05</x:v>
      </x:c>
      <x:c r="G27" t="str">
        <x:v>Synergies × (1 – tax)</x:v>
      </x:c>
      <x:c r="H27" s="4"/>
      <x:c r="I27" s="4"/>
      <x:c r="J27" s="4"/>
      <x:c r="K27" s="4"/>
      <x:c r="L27" s="4"/>
      <x:c r="M27" s="4"/>
    </x:row>
    <x:row r="28">
      <x:c r="A28" s="79"/>
      <x:c r="C28" t="str">
        <x:v>After-tax GXO legacy interest add-back</x:v>
      </x:c>
      <x:c r="D28" s="329" t="n">
        <x:f>-'Target Financials'!$F$20*(1-'Transaction Assumptions'!$D$24)*$D$20</x:f>
        <x:v>51.90643835616439</x:v>
      </x:c>
      <x:c r="E28" s="329" t="n">
        <x:f>-'Target Financials'!$F$20*(1-'Transaction Assumptions'!$D$24)</x:f>
        <x:v>102.41</x:v>
      </x:c>
      <x:c r="F28" s="329" t="n">
        <x:f>-'Target Financials'!$F$20*(1-'Transaction Assumptions'!$D$24)</x:f>
        <x:v>102.41</x:v>
      </x:c>
      <x:c r="G28" t="str">
        <x:v>Refinanced debt adjustment</x:v>
      </x:c>
      <x:c r="H28" s="4"/>
      <x:c r="I28" s="4"/>
      <x:c r="J28" s="4"/>
      <x:c r="K28" s="4"/>
      <x:c r="L28" s="4"/>
      <x:c r="M28" s="4"/>
    </x:row>
    <x:row r="29">
      <x:c r="A29" s="79"/>
      <x:c r="C29" t="str">
        <x:v>After-tax acquisition financing cost</x:v>
      </x:c>
      <x:c r="D29" s="329" t="n">
        <x:f>-'Financing'!E17*$D$20</x:f>
        <x:v>-194.68605476450108</x:v>
      </x:c>
      <x:c r="E29" s="329" t="n">
        <x:f>-'Financing'!F17</x:f>
        <x:v>-366.0190760932758</x:v>
      </x:c>
      <x:c r="F29" s="329" t="n">
        <x:f>-'Financing'!G17</x:f>
        <x:v>-343.2341382396164</x:v>
      </x:c>
      <x:c r="G29" t="str">
        <x:v>Financing</x:v>
      </x:c>
      <x:c r="H29" s="4"/>
      <x:c r="I29" s="4"/>
      <x:c r="J29" s="4"/>
      <x:c r="K29" s="4"/>
      <x:c r="L29" s="4"/>
      <x:c r="M29" s="4"/>
    </x:row>
    <x:row r="30">
      <x:c r="A30" s="79"/>
      <x:c r="C30" t="str">
        <x:v>After-tax lost interest income</x:v>
      </x:c>
      <x:c r="D30" s="329" t="n">
        <x:f>-'Transaction Assumptions'!$D$19*'Transaction Assumptions'!$D$23*(1-'Transaction Assumptions'!$D$24)*$D$20</x:f>
        <x:v>-31.22191780821918</x:v>
      </x:c>
      <x:c r="E30" s="329" t="n">
        <x:f>-'Transaction Assumptions'!$D$19*'Transaction Assumptions'!$D$23*(1-'Transaction Assumptions'!$D$24)</x:f>
        <x:v>-61.6</x:v>
      </x:c>
      <x:c r="F30" s="329" t="n">
        <x:f>-'Transaction Assumptions'!$D$19*'Transaction Assumptions'!$D$23*(1-'Transaction Assumptions'!$D$24)</x:f>
        <x:v>-61.6</x:v>
      </x:c>
      <x:c r="G30" t="str">
        <x:v>A02 / A06</x:v>
      </x:c>
      <x:c r="H30" s="4"/>
      <x:c r="I30" s="4"/>
      <x:c r="J30" s="4"/>
      <x:c r="K30" s="4"/>
      <x:c r="L30" s="4"/>
      <x:c r="M30" s="4"/>
    </x:row>
    <x:row r="31">
      <x:c r="A31" s="79"/>
      <x:c r="C31" t="str">
        <x:v>After-tax purchase-accounting expense</x:v>
      </x:c>
      <x:c r="D31" s="329" t="n">
        <x:f>-'Purchase Accounting'!F42*$D$20</x:f>
        <x:v>-98.09270293975341</x:v>
      </x:c>
      <x:c r="E31" s="329" t="n">
        <x:f>-'Purchase Accounting'!G42</x:f>
        <x:v>-162.462238851</x:v>
      </x:c>
      <x:c r="F31" s="329" t="n">
        <x:f>-'Purchase Accounting'!H42</x:f>
        <x:v>-162.462238851</x:v>
      </x:c>
      <x:c r="G31" t="str">
        <x:v>Purchase Accounting</x:v>
      </x:c>
      <x:c r="H31" s="4"/>
      <x:c r="I31" s="4"/>
      <x:c r="J31" s="4"/>
      <x:c r="K31" s="4"/>
      <x:c r="L31" s="4"/>
      <x:c r="M31" s="4"/>
    </x:row>
    <x:row r="32">
      <x:c r="A32" s="79"/>
      <x:c r="C32" t="str">
        <x:v>After-tax integration costs</x:v>
      </x:c>
      <x:c r="D32" s="329" t="n">
        <x:f>'Financing'!E30*(1-'Transaction Assumptions'!$D$24)*$D$20</x:f>
        <x:v>-77.56695205479453</x:v>
      </x:c>
      <x:c r="E32" s="329" t="n">
        <x:f>'Financing'!F30*(1-'Transaction Assumptions'!$D$24)</x:f>
        <x:v>-107.12625</x:v>
      </x:c>
      <x:c r="F32" s="329" t="n">
        <x:f>'Financing'!G30*(1-'Transaction Assumptions'!$D$24)</x:f>
        <x:v>-45.91125</x:v>
      </x:c>
      <x:c r="G32" t="str">
        <x:v>Integration costs × (1 – tax)</x:v>
      </x:c>
      <x:c r="H32" s="4"/>
      <x:c r="I32" s="4"/>
      <x:c r="J32" s="4"/>
      <x:c r="K32" s="4"/>
      <x:c r="L32" s="4"/>
      <x:c r="M32" s="4"/>
    </x:row>
    <x:row r="33">
      <x:c r="A33" s="79"/>
      <x:c r="C33" s="287" t="str">
        <x:v>Pro forma net income</x:v>
      </x:c>
      <x:c r="D33" s="332" t="n">
        <x:f>SUM(D25:D32)</x:f>
        <x:v>5695.246924501224</x:v>
      </x:c>
      <x:c r="E33" s="332" t="n">
        <x:f>SUM(E25:E32)</x:f>
        <x:v>6110.507773655724</x:v>
      </x:c>
      <x:c r="F33" s="332" t="n">
        <x:f>SUM(F25:F32)</x:f>
        <x:v>6669.715680305383</x:v>
      </x:c>
      <x:c r="G33" s="287" t="str">
        <x:v>Calculated</x:v>
      </x:c>
      <x:c r="H33" s="4"/>
      <x:c r="I33" s="4"/>
      <x:c r="J33" s="4"/>
      <x:c r="K33" s="4"/>
      <x:c r="L33" s="4"/>
      <x:c r="M33" s="4"/>
    </x:row>
    <x:row r="34">
      <x:c r="A34" s="79"/>
      <x:c r="C34" t="str">
        <x:v>Transaction net income contribution</x:v>
      </x:c>
      <x:c r="D34" s="328" t="n">
        <x:f>D33-D25</x:f>
        <x:v>-136.8736554987754</x:v>
      </x:c>
      <x:c r="E34" s="328" t="n">
        <x:f>E33-E25</x:f>
        <x:v>-51.35193144427558</x:v>
      </x:c>
      <x:c r="F34" s="328" t="n">
        <x:f>F33-F25</x:f>
        <x:v>133.54599013438383</x:v>
      </x:c>
      <x:c r="G34" t="str">
        <x:v>Calculated</x:v>
      </x:c>
      <x:c r="H34" s="4"/>
      <x:c r="I34" s="4"/>
      <x:c r="J34" s="4"/>
      <x:c r="K34" s="4"/>
      <x:c r="L34" s="4"/>
      <x:c r="M34" s="4"/>
    </x:row>
    <x:row r="35">
      <x:c r="A35" s="79"/>
      <x:c r="C35" t="str">
        <x:v>UPS standalone diluted shares</x:v>
      </x:c>
      <x:c r="D35" s="337" t="n">
        <x:f>'Standalone Forecasts'!G21</x:f>
        <x:v>844.755</x:v>
      </x:c>
      <x:c r="E35" s="337" t="n">
        <x:f>'Standalone Forecasts'!H21</x:f>
        <x:v>840.531225</x:v>
      </x:c>
      <x:c r="F35" s="337" t="n">
        <x:f>'Standalone Forecasts'!I21</x:f>
        <x:v>836.328568875</x:v>
      </x:c>
      <x:c r="G35" t="str">
        <x:v>Standalone Forecasts</x:v>
      </x:c>
      <x:c r="H35" s="4"/>
      <x:c r="I35" s="4"/>
      <x:c r="J35" s="4"/>
      <x:c r="K35" s="4"/>
      <x:c r="L35" s="4"/>
      <x:c r="M35" s="4"/>
    </x:row>
    <x:row r="36">
      <x:c r="A36" s="79"/>
      <x:c r="C36" t="str">
        <x:v>New UPS shares issued</x:v>
      </x:c>
      <x:c r="D36" s="337" t="n">
        <x:f>'Sources &amp; Uses'!$D$40*$D$20</x:f>
        <x:v>0</x:v>
      </x:c>
      <x:c r="E36" s="337" t="n">
        <x:f>'Sources &amp; Uses'!$D$40</x:f>
        <x:v>0</x:v>
      </x:c>
      <x:c r="F36" s="337" t="n">
        <x:f>'Sources &amp; Uses'!$D$40</x:f>
        <x:v>0</x:v>
      </x:c>
      <x:c r="G36" t="str">
        <x:v>Sources &amp; Uses</x:v>
      </x:c>
      <x:c r="H36" s="4"/>
      <x:c r="I36" s="4"/>
      <x:c r="J36" s="4"/>
      <x:c r="K36" s="4"/>
      <x:c r="L36" s="4"/>
      <x:c r="M36" s="4"/>
    </x:row>
    <x:row r="37">
      <x:c r="A37" s="79"/>
      <x:c r="C37" s="287" t="str">
        <x:v>Pro forma diluted shares</x:v>
      </x:c>
      <x:c r="D37" s="424" t="n">
        <x:f>SUM(D35:D36)</x:f>
        <x:v>844.755</x:v>
      </x:c>
      <x:c r="E37" s="424" t="n">
        <x:f>SUM(E35:E36)</x:f>
        <x:v>840.531225</x:v>
      </x:c>
      <x:c r="F37" s="424" t="n">
        <x:f>SUM(F35:F36)</x:f>
        <x:v>836.328568875</x:v>
      </x:c>
      <x:c r="G37" s="287" t="str">
        <x:v>Calculated</x:v>
      </x:c>
      <x:c r="H37" s="4"/>
      <x:c r="I37" s="4"/>
      <x:c r="J37" s="4"/>
      <x:c r="K37" s="4"/>
      <x:c r="L37" s="4"/>
      <x:c r="M37" s="4"/>
    </x:row>
    <x:row r="38">
      <x:c r="A38" s="79"/>
      <x:c r="C38" t="str">
        <x:v>UPS standalone EPS</x:v>
      </x:c>
      <x:c r="D38" s="297" t="n">
        <x:f>D25/D35</x:f>
        <x:v>6.903919574314446</x:v>
      </x:c>
      <x:c r="E38" s="297" t="n">
        <x:f>E25/E35</x:f>
        <x:v>7.330911121237643</x:v>
      </x:c>
      <x:c r="F38" s="297" t="n">
        <x:f>F25/F35</x:f>
        <x:v>7.81531318362498</x:v>
      </x:c>
      <x:c r="G38" t="str">
        <x:v>Calculated</x:v>
      </x:c>
      <x:c r="H38" s="4"/>
      <x:c r="I38" s="4"/>
      <x:c r="J38" s="4"/>
      <x:c r="K38" s="4"/>
      <x:c r="L38" s="4"/>
      <x:c r="M38" s="4"/>
    </x:row>
    <x:row r="39">
      <x:c r="A39" s="79"/>
      <x:c r="C39" s="287" t="str">
        <x:v>Pro forma EPS</x:v>
      </x:c>
      <x:c r="D39" s="426" t="n">
        <x:f>D33/D37</x:f>
        <x:v>6.741891938492492</x:v>
      </x:c>
      <x:c r="E39" s="426" t="n">
        <x:f>E33/E37</x:f>
        <x:v>7.269816506407272</x:v>
      </x:c>
      <x:c r="F39" s="426" t="n">
        <x:f>F33/F37</x:f>
        <x:v>7.974994432244796</x:v>
      </x:c>
      <x:c r="G39" s="287" t="str">
        <x:v>Calculated</x:v>
      </x:c>
      <x:c r="H39" s="4"/>
      <x:c r="I39" s="4"/>
      <x:c r="J39" s="4"/>
      <x:c r="K39" s="4"/>
      <x:c r="L39" s="4"/>
      <x:c r="M39" s="4"/>
    </x:row>
    <x:row r="40">
      <x:c r="A40" s="79"/>
      <x:c r="C40" t="str">
        <x:v>Accretion / (dilution) per share</x:v>
      </x:c>
      <x:c r="D40" s="297" t="n">
        <x:f>D39-D38</x:f>
        <x:v>-0.16202763582195434</x:v>
      </x:c>
      <x:c r="E40" s="297" t="n">
        <x:f>E39-E38</x:f>
        <x:v>-0.06109461483037126</x:v>
      </x:c>
      <x:c r="F40" s="297" t="n">
        <x:f>F39-F38</x:f>
        <x:v>0.15968124861981625</x:v>
      </x:c>
      <x:c r="G40" t="str">
        <x:v>Calculated</x:v>
      </x:c>
      <x:c r="H40" s="4"/>
      <x:c r="I40" s="4"/>
      <x:c r="J40" s="4"/>
      <x:c r="K40" s="4"/>
      <x:c r="L40" s="4"/>
      <x:c r="M40" s="4"/>
    </x:row>
    <x:row r="41">
      <x:c r="A41" s="79"/>
      <x:c r="C41" s="440" t="str">
        <x:v>Accretion / (dilution) %</x:v>
      </x:c>
      <x:c r="D41" s="441" t="n">
        <x:f>D39/D38-1</x:f>
        <x:v>-0.02346893443324094</x:v>
      </x:c>
      <x:c r="E41" s="441" t="n">
        <x:f>E39/E38-1</x:f>
        <x:v>-0.00833383652045383</x:v>
      </x:c>
      <x:c r="F41" s="441" t="n">
        <x:f>F39/F38-1</x:f>
        <x:v>0.02043184257214259</x:v>
      </x:c>
      <x:c r="G41" s="440" t="str">
        <x:v>Calculated</x:v>
      </x:c>
      <x:c r="H41" s="4"/>
      <x:c r="I41" s="4"/>
      <x:c r="J41" s="4"/>
      <x:c r="K41" s="4"/>
      <x:c r="L41" s="4"/>
      <x:c r="M41" s="4"/>
    </x:row>
    <x:row r="42">
      <x:c r="A42" s="79"/>
      <x:c r="C42"/>
      <x:c r="D42"/>
      <x:c r="E42"/>
      <x:c r="F42"/>
      <x:c r="G42"/>
      <x:c r="H42" s="4"/>
      <x:c r="I42" s="4"/>
      <x:c r="J42" s="4"/>
      <x:c r="K42" s="4"/>
      <x:c r="L42" s="4"/>
      <x:c r="M42" s="4"/>
    </x:row>
    <x:row r="43">
      <x:c r="A43" s="79"/>
      <x:c r="C43"/>
      <x:c r="D43"/>
      <x:c r="E43"/>
      <x:c r="F43"/>
      <x:c r="G43"/>
      <x:c r="H43" s="4"/>
      <x:c r="I43" s="4"/>
      <x:c r="J43" s="4"/>
      <x:c r="K43" s="4"/>
      <x:c r="L43" s="4"/>
      <x:c r="M43" s="4"/>
    </x:row>
    <x:row r="44">
      <x:c r="A44" s="79"/>
      <x:c r="C44" s="298" t="str">
        <x:v>Method</x:v>
      </x:c>
      <x:c r="D44" s="3" t="str">
        <x:v>The net-income bridge starts with standalone UPS and GXO earnings and applies transaction-specific after-tax adjustments.</x:v>
      </x:c>
      <x:c r="E44" s="3"/>
      <x:c r="F44" s="3"/>
      <x:c r="G44" s="3"/>
      <x:c r="H44" s="4"/>
      <x:c r="I44" s="4"/>
      <x:c r="J44" s="4"/>
      <x:c r="K44" s="4"/>
      <x:c r="L44" s="4"/>
      <x:c r="M44" s="4"/>
    </x:row>
    <x:row r="45">
      <x:c r="A45" s="79"/>
      <x:c r="C45" s="298" t="str">
        <x:v>Legacy interest</x:v>
      </x:c>
      <x:c r="D45" s="3" t="str">
        <x:v>GXO historical interest is added back because its existing debt is refinanced at closing.</x:v>
      </x:c>
      <x:c r="E45" s="3"/>
      <x:c r="F45" s="3"/>
      <x:c r="G45" s="3"/>
      <x:c r="H45" s="4"/>
      <x:c r="I45" s="4"/>
      <x:c r="J45" s="4"/>
      <x:c r="K45" s="4"/>
      <x:c r="L45" s="4"/>
      <x:c r="M45" s="4"/>
    </x:row>
    <x:row r="46">
      <x:c r="A46" s="79"/>
      <x:c r="C46" s="298" t="str">
        <x:v>Financing cost</x:v>
      </x:c>
      <x:c r="D46" s="3" t="str">
        <x:v>Acquisition financing includes cash interest and financing-fee amortisation from the debt schedule.</x:v>
      </x:c>
      <x:c r="E46" s="3"/>
      <x:c r="F46" s="3"/>
      <x:c r="G46" s="3"/>
      <x:c r="H46" s="4"/>
      <x:c r="I46" s="4"/>
      <x:c r="J46" s="4"/>
      <x:c r="K46" s="4"/>
      <x:c r="L46" s="4"/>
      <x:c r="M46" s="4"/>
    </x:row>
    <x:row r="47">
      <x:c r="A47" s="79"/>
      <x:c r="C47" s="298" t="str">
        <x:v>Timing</x:v>
      </x:c>
      <x:c r="D47" s="3" t="str">
        <x:v>The schedule presents full-year pro forma ownership for comparability across FY2026–FY2028.</x:v>
      </x:c>
      <x:c r="E47" s="3"/>
      <x:c r="F47" s="3"/>
      <x:c r="G47" s="3"/>
      <x:c r="H47" s="4"/>
      <x:c r="I47" s="4"/>
      <x:c r="J47" s="4"/>
      <x:c r="K47" s="4"/>
      <x:c r="L47" s="4"/>
      <x:c r="M47" s="4"/>
    </x:row>
    <x:row r="48">
      <x:c r="A48" s="79"/>
      <x:c r="C48"/>
      <x:c r="D48"/>
      <x:c r="E48"/>
      <x:c r="F48"/>
      <x:c r="G48"/>
      <x:c r="H48" s="4"/>
      <x:c r="I48" s="4"/>
      <x:c r="J48" s="4"/>
      <x:c r="K48" s="4"/>
      <x:c r="L48" s="4"/>
      <x:c r="M48" s="4"/>
    </x:row>
    <x:row r="49">
      <x:c r="A49" s="79"/>
      <x:c r="C49"/>
      <x:c r="D49"/>
      <x:c r="E49"/>
      <x:c r="F49"/>
      <x:c r="G49"/>
      <x:c r="H49" s="4"/>
      <x:c r="I49" s="4"/>
      <x:c r="J49" s="4"/>
      <x:c r="K49" s="4"/>
      <x:c r="L49" s="4"/>
      <x:c r="M49" s="4"/>
    </x:row>
    <x:row r="50">
      <x:c r="A50" s="79"/>
      <x:c r="C50"/>
      <x:c r="D50"/>
      <x:c r="E50"/>
      <x:c r="F50"/>
      <x:c r="G50"/>
      <x:c r="H50" s="4"/>
      <x:c r="I50" s="4"/>
      <x:c r="J50" s="4"/>
      <x:c r="K50" s="4"/>
      <x:c r="L50" s="4"/>
      <x:c r="M50" s="4"/>
    </x:row>
    <x:row r="51">
      <x:c r="A51" s="79"/>
      <x:c r="C51"/>
      <x:c r="D51"/>
      <x:c r="E51"/>
      <x:c r="F51"/>
      <x:c r="G51"/>
      <x:c r="H51" s="4"/>
      <x:c r="I51" s="4"/>
      <x:c r="J51" s="4"/>
      <x:c r="K51" s="4"/>
      <x:c r="L51" s="4"/>
      <x:c r="M51" s="4"/>
    </x:row>
    <x:row r="52">
      <x:c r="A52" s="79"/>
      <x:c r="C52"/>
      <x:c r="D52"/>
      <x:c r="E52"/>
      <x:c r="F52"/>
      <x:c r="G52"/>
      <x:c r="H52" s="4"/>
      <x:c r="I52" s="4"/>
      <x:c r="J52" s="4"/>
      <x:c r="K52" s="4"/>
      <x:c r="L52" s="4"/>
      <x:c r="M52" s="4"/>
    </x:row>
    <x:row r="53">
      <x:c r="A53" s="79"/>
      <x:c r="C53"/>
      <x:c r="D53"/>
      <x:c r="E53"/>
      <x:c r="F53"/>
      <x:c r="G53"/>
      <x:c r="H53" s="4"/>
      <x:c r="I53" s="4"/>
      <x:c r="J53" s="4"/>
      <x:c r="K53" s="4"/>
      <x:c r="L53" s="4"/>
      <x:c r="M53" s="4"/>
    </x:row>
    <x:row r="54">
      <x:c r="A54" s="79"/>
      <x:c r="C54"/>
      <x:c r="D54"/>
      <x:c r="E54"/>
      <x:c r="F54"/>
      <x:c r="G54"/>
      <x:c r="H54" s="4"/>
      <x:c r="I54" s="4"/>
      <x:c r="J54" s="4"/>
      <x:c r="K54" s="4"/>
      <x:c r="L54" s="4"/>
      <x:c r="M54" s="4"/>
    </x:row>
    <x:row r="55">
      <x:c r="A55" s="79"/>
      <x:c r="C55"/>
      <x:c r="D55"/>
      <x:c r="E55"/>
      <x:c r="F55"/>
      <x:c r="G55"/>
      <x:c r="H55" s="4"/>
      <x:c r="I55" s="4"/>
      <x:c r="J55" s="4"/>
      <x:c r="K55" s="4"/>
      <x:c r="L55" s="4"/>
      <x:c r="M55" s="4"/>
    </x:row>
    <x:row r="56">
      <x:c r="A56" s="79"/>
      <x:c r="C56"/>
      <x:c r="D56"/>
      <x:c r="E56"/>
      <x:c r="F56"/>
      <x:c r="G56"/>
      <x:c r="H56" s="4"/>
      <x:c r="I56" s="4"/>
      <x:c r="J56" s="4"/>
      <x:c r="K56" s="4"/>
      <x:c r="L56" s="4"/>
      <x:c r="M56" s="4"/>
    </x:row>
    <x:row r="57">
      <x:c r="A57" s="79"/>
      <x:c r="C57"/>
      <x:c r="D57"/>
      <x:c r="E57"/>
      <x:c r="F57"/>
      <x:c r="G57"/>
      <x:c r="H57" s="4"/>
      <x:c r="I57" s="4"/>
      <x:c r="J57" s="4"/>
      <x:c r="K57" s="4"/>
      <x:c r="L57" s="4"/>
      <x:c r="M57" s="4"/>
    </x:row>
    <x:row r="58">
      <x:c r="A58" s="79"/>
      <x:c r="C58"/>
      <x:c r="D58"/>
      <x:c r="E58"/>
      <x:c r="F58"/>
      <x:c r="G58"/>
      <x:c r="H58" s="4"/>
      <x:c r="I58" s="4"/>
      <x:c r="J58" s="4"/>
      <x:c r="K58" s="4"/>
      <x:c r="L58" s="4"/>
      <x:c r="M58" s="4"/>
    </x:row>
    <x:row r="59">
      <x:c r="A59" s="79"/>
      <x:c r="C59"/>
      <x:c r="D59"/>
      <x:c r="E59"/>
      <x:c r="F59"/>
      <x:c r="G59"/>
      <x:c r="H59" s="4"/>
      <x:c r="I59" s="4"/>
      <x:c r="J59" s="4"/>
      <x:c r="K59" s="4"/>
      <x:c r="L59" s="4"/>
      <x:c r="M59" s="4"/>
    </x:row>
    <x:row r="60">
      <x:c r="A60" s="79"/>
      <x:c r="C60"/>
      <x:c r="D60"/>
      <x:c r="E60"/>
      <x:c r="F60"/>
      <x:c r="G60"/>
      <x:c r="H60" s="4"/>
      <x:c r="I60" s="4"/>
      <x:c r="J60" s="4"/>
      <x:c r="K60" s="4"/>
      <x:c r="L60" s="4"/>
      <x:c r="M60" s="4"/>
    </x:row>
    <x:row r="61">
      <x:c r="A61" s="79"/>
      <x:c r="C61"/>
      <x:c r="D61"/>
      <x:c r="E61"/>
      <x:c r="F61"/>
      <x:c r="G61"/>
      <x:c r="H61" s="4"/>
      <x:c r="I61" s="4"/>
      <x:c r="J61" s="4"/>
      <x:c r="K61" s="4"/>
      <x:c r="L61" s="4"/>
      <x:c r="M61" s="4"/>
    </x:row>
    <x:row r="62">
      <x:c r="A62" s="79"/>
      <x:c r="C62"/>
      <x:c r="D62"/>
      <x:c r="E62"/>
      <x:c r="F62"/>
      <x:c r="G62"/>
      <x:c r="H62" s="4"/>
      <x:c r="I62" s="4"/>
      <x:c r="J62" s="4"/>
      <x:c r="K62" s="4"/>
      <x:c r="L62" s="4"/>
      <x:c r="M62" s="4"/>
    </x:row>
    <x:row r="63">
      <x:c r="A63" s="79"/>
      <x:c r="C63"/>
      <x:c r="D63"/>
      <x:c r="E63"/>
      <x:c r="F63"/>
      <x:c r="G63"/>
      <x:c r="H63" s="4"/>
      <x:c r="I63" s="4"/>
      <x:c r="J63" s="4"/>
      <x:c r="K63" s="4"/>
      <x:c r="L63" s="4"/>
      <x:c r="M63" s="4"/>
    </x:row>
    <x:row r="64">
      <x:c r="A64" s="79"/>
      <x:c r="C64"/>
      <x:c r="D64"/>
      <x:c r="E64"/>
      <x:c r="F64"/>
      <x:c r="G64"/>
      <x:c r="H64" s="4"/>
      <x:c r="I64" s="4"/>
      <x:c r="J64" s="4"/>
      <x:c r="K64" s="4"/>
      <x:c r="L64" s="4"/>
      <x:c r="M64" s="4"/>
    </x:row>
    <x:row r="65">
      <x:c r="A65" s="79"/>
      <x:c r="C65"/>
      <x:c r="D65"/>
      <x:c r="E65"/>
      <x:c r="F65"/>
      <x:c r="G65"/>
      <x:c r="H65" s="4"/>
      <x:c r="I65" s="4"/>
      <x:c r="J65" s="4"/>
      <x:c r="K65" s="4"/>
      <x:c r="L65" s="4"/>
      <x:c r="M65" s="4"/>
    </x:row>
    <x:row r="66">
      <x:c r="A66" s="79"/>
      <x:c r="C66"/>
      <x:c r="D66"/>
      <x:c r="E66"/>
      <x:c r="F66"/>
      <x:c r="G66"/>
      <x:c r="H66" s="4"/>
      <x:c r="I66" s="4"/>
      <x:c r="J66" s="4"/>
      <x:c r="K66" s="4"/>
      <x:c r="L66" s="4"/>
      <x:c r="M66" s="4"/>
    </x:row>
    <x:row r="67">
      <x:c r="A67" s="79"/>
      <x:c r="C67"/>
      <x:c r="D67"/>
      <x:c r="E67"/>
      <x:c r="F67"/>
      <x:c r="G67"/>
      <x:c r="H67" s="4"/>
      <x:c r="I67" s="4"/>
      <x:c r="J67" s="4"/>
      <x:c r="K67" s="4"/>
      <x:c r="L67" s="4"/>
      <x:c r="M67" s="4"/>
    </x:row>
    <x:row r="68">
      <x:c r="A68" s="79"/>
      <x:c r="C68"/>
      <x:c r="D68"/>
      <x:c r="E68"/>
      <x:c r="F68"/>
      <x:c r="G68"/>
      <x:c r="H68" s="4"/>
      <x:c r="I68" s="4"/>
      <x:c r="J68" s="4"/>
      <x:c r="K68" s="4"/>
      <x:c r="L68" s="4"/>
      <x:c r="M68" s="4"/>
    </x:row>
    <x:row r="69">
      <x:c r="A69" s="79"/>
      <x:c r="C69"/>
      <x:c r="D69"/>
      <x:c r="E69"/>
      <x:c r="F69"/>
      <x:c r="G69"/>
      <x:c r="H69" s="4"/>
      <x:c r="I69" s="4"/>
      <x:c r="J69" s="4"/>
      <x:c r="K69" s="4"/>
      <x:c r="L69" s="4"/>
      <x:c r="M69" s="4"/>
    </x:row>
    <x:row r="70">
      <x:c r="A70" s="79"/>
      <x:c r="C70"/>
      <x:c r="D70"/>
      <x:c r="E70"/>
      <x:c r="F70"/>
      <x:c r="G70"/>
      <x:c r="H70" s="4"/>
      <x:c r="I70" s="4"/>
      <x:c r="J70" s="4"/>
      <x:c r="K70" s="4"/>
      <x:c r="L70" s="4"/>
      <x:c r="M70" s="4"/>
    </x:row>
    <x:row r="71">
      <x:c r="A71" s="79"/>
      <x:c r="C71"/>
      <x:c r="D71"/>
      <x:c r="E71"/>
      <x:c r="F71"/>
      <x:c r="G71"/>
      <x:c r="H71" s="4"/>
      <x:c r="I71" s="4"/>
      <x:c r="J71" s="4"/>
      <x:c r="K71" s="4"/>
      <x:c r="L71" s="4"/>
      <x:c r="M71" s="4"/>
    </x:row>
    <x:row r="72">
      <x:c r="A72" s="79"/>
      <x:c r="C72"/>
      <x:c r="D72"/>
      <x:c r="E72"/>
      <x:c r="F72"/>
      <x:c r="G72"/>
      <x:c r="H72" s="4"/>
      <x:c r="I72" s="4"/>
      <x:c r="J72" s="4"/>
      <x:c r="K72" s="4"/>
      <x:c r="L72" s="4"/>
      <x:c r="M72" s="4"/>
    </x:row>
    <x:row r="73">
      <x:c r="A73" s="79"/>
      <x:c r="C73"/>
      <x:c r="D73"/>
      <x:c r="E73"/>
      <x:c r="F73"/>
      <x:c r="G73"/>
      <x:c r="H73" s="4"/>
      <x:c r="I73" s="4"/>
      <x:c r="J73" s="4"/>
      <x:c r="K73" s="4"/>
      <x:c r="L73" s="4"/>
      <x:c r="M73" s="4"/>
    </x:row>
    <x:row r="74">
      <x:c r="A74" s="79"/>
      <x:c r="C74"/>
      <x:c r="D74"/>
      <x:c r="E74"/>
      <x:c r="F74"/>
      <x:c r="G74"/>
      <x:c r="H74" s="4"/>
      <x:c r="I74" s="4"/>
      <x:c r="J74" s="4"/>
      <x:c r="K74" s="4"/>
      <x:c r="L74" s="4"/>
      <x:c r="M74" s="4"/>
    </x:row>
    <x:row r="75">
      <x:c r="A75" s="79"/>
      <x:c r="C75"/>
      <x:c r="D75"/>
      <x:c r="E75"/>
      <x:c r="F75"/>
      <x:c r="G75"/>
      <x:c r="H75" s="4"/>
      <x:c r="I75" s="4"/>
      <x:c r="J75" s="4"/>
      <x:c r="K75" s="4"/>
      <x:c r="L75" s="4"/>
      <x:c r="M75" s="4"/>
    </x:row>
    <x:row r="76">
      <x:c r="A76" s="79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</x:row>
    <x:row r="77">
      <x:c r="A77" s="79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</x:row>
    <x:row r="78">
      <x:c r="A78" s="79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</x:row>
    <x:row r="79">
      <x:c r="A79" s="79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</x:row>
    <x:row r="80">
      <x:c r="A80" s="79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</x:row>
    <x:row r="81">
      <x:c r="A81" s="79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</x:row>
    <x:row r="82">
      <x:c r="A82" s="79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</x:row>
    <x:row r="83">
      <x:c r="A83" s="79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>
      <x:c r="A84" s="79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</x:row>
    <x:row r="85">
      <x:c r="A85" s="79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</x:row>
    <x:row r="86">
      <x:c r="A86" s="79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</x:row>
    <x:row r="87">
      <x:c r="A87" s="79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</x:row>
    <x:row r="88">
      <x:c r="A88" s="79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</x:row>
    <x:row r="89">
      <x:c r="A89" s="79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</x:row>
    <x:row r="90">
      <x:c r="A90" s="79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</x:row>
    <x:row r="91">
      <x:c r="A91" s="79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>
      <x:c r="A92" s="79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>
      <x:c r="A93" s="79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79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>
      <x:c r="A95" s="79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>
      <x:c r="A96" s="79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79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79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79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79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EPS accretion-dilution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Comparison of UPS standalone and combined earnings per share | USD in millions except per-share data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434" t="str">
        <x:v>EPS accretion-dilution</x:v>
      </x:c>
      <x:c r="D6" s="435"/>
      <x:c r="E6" s="435"/>
      <x:c r="F6" s="435"/>
      <x:c r="G6" s="436"/>
      <x:c r="H6" s="4"/>
      <x:c r="I6" s="4"/>
      <x:c r="J6" s="4"/>
      <x:c r="K6" s="4"/>
      <x:c r="L6" s="4"/>
      <x:c r="M6" s="4"/>
    </x:row>
    <x:row r="7">
      <x:c r="A7" s="79"/>
      <x:c r="C7"/>
      <x:c r="D7"/>
      <x:c r="E7"/>
      <x:c r="F7"/>
      <x:c r="G7"/>
      <x:c r="H7" s="4"/>
      <x:c r="I7" s="4"/>
      <x:c r="J7" s="4"/>
      <x:c r="K7" s="4"/>
      <x:c r="L7" s="4"/>
      <x:c r="M7" s="4"/>
    </x:row>
    <x:row r="8">
      <x:c r="A8" s="79"/>
      <x:c r="C8" s="439" t="str">
        <x:v>Metric</x:v>
      </x:c>
      <x:c r="D8" s="439" t="str">
        <x:v>FY:26E</x:v>
      </x:c>
      <x:c r="E8" s="439" t="str">
        <x:v>FY:27E</x:v>
      </x:c>
      <x:c r="F8" s="439" t="str">
        <x:v>FY:28E</x:v>
      </x:c>
      <x:c r="G8" s="439" t="str">
        <x:v>Source / status</x:v>
      </x:c>
      <x:c r="H8" s="4"/>
      <x:c r="I8" s="4"/>
      <x:c r="J8" s="4"/>
      <x:c r="K8" s="4"/>
      <x:c r="L8" s="4"/>
      <x:c r="M8" s="4"/>
    </x:row>
    <x:row r="9">
      <x:c r="A9" s="79"/>
      <x:c r="C9" t="str">
        <x:v>UPS standalone net income</x:v>
      </x:c>
      <x:c r="D9" s="329" t="n">
        <x:f>'Pro Forma Income Statement'!D25</x:f>
        <x:v>5832.12058</x:v>
      </x:c>
      <x:c r="E9" s="329" t="n">
        <x:f>'Pro Forma Income Statement'!E25</x:f>
        <x:v>6161.8597051</x:v>
      </x:c>
      <x:c r="F9" s="329" t="n">
        <x:f>'Pro Forma Income Statement'!F25</x:f>
        <x:v>6536.169690170999</x:v>
      </x:c>
      <x:c r="G9" t="str">
        <x:v>Pro Forma Income Statement</x:v>
      </x:c>
      <x:c r="H9" s="4"/>
      <x:c r="I9" s="4"/>
      <x:c r="J9" s="4"/>
      <x:c r="K9" s="4"/>
      <x:c r="L9" s="4"/>
      <x:c r="M9" s="4"/>
    </x:row>
    <x:row r="10">
      <x:c r="A10" s="79"/>
      <x:c r="C10" t="str">
        <x:v>Pro forma net income</x:v>
      </x:c>
      <x:c r="D10" s="329" t="n">
        <x:f>'Pro Forma Income Statement'!D33</x:f>
        <x:v>5695.246924501224</x:v>
      </x:c>
      <x:c r="E10" s="329" t="n">
        <x:f>'Pro Forma Income Statement'!E33</x:f>
        <x:v>6110.507773655724</x:v>
      </x:c>
      <x:c r="F10" s="329" t="n">
        <x:f>'Pro Forma Income Statement'!F33</x:f>
        <x:v>6669.715680305383</x:v>
      </x:c>
      <x:c r="G10" t="str">
        <x:v>Pro Forma Income Statement</x:v>
      </x:c>
      <x:c r="H10" s="4"/>
      <x:c r="I10" s="4"/>
      <x:c r="J10" s="4"/>
      <x:c r="K10" s="4"/>
      <x:c r="L10" s="4"/>
      <x:c r="M10" s="4"/>
    </x:row>
    <x:row r="11">
      <x:c r="A11" s="79"/>
      <x:c r="C11" t="str">
        <x:v>UPS standalone diluted shares</x:v>
      </x:c>
      <x:c r="D11" s="397" t="n">
        <x:f>'Pro Forma Income Statement'!D35</x:f>
        <x:v>844.755</x:v>
      </x:c>
      <x:c r="E11" s="397" t="n">
        <x:f>'Pro Forma Income Statement'!E35</x:f>
        <x:v>840.531225</x:v>
      </x:c>
      <x:c r="F11" s="397" t="n">
        <x:f>'Pro Forma Income Statement'!F35</x:f>
        <x:v>836.328568875</x:v>
      </x:c>
      <x:c r="G11" t="str">
        <x:v>Pro Forma Income Statement</x:v>
      </x:c>
      <x:c r="H11" s="4"/>
      <x:c r="I11" s="4"/>
      <x:c r="J11" s="4"/>
      <x:c r="K11" s="4"/>
      <x:c r="L11" s="4"/>
      <x:c r="M11" s="4"/>
    </x:row>
    <x:row r="12">
      <x:c r="A12" s="79"/>
      <x:c r="C12" t="str">
        <x:v>New UPS shares issued</x:v>
      </x:c>
      <x:c r="D12" s="397" t="n">
        <x:f>'Pro Forma Income Statement'!D36</x:f>
        <x:v>0</x:v>
      </x:c>
      <x:c r="E12" s="397" t="n">
        <x:f>'Pro Forma Income Statement'!E36</x:f>
        <x:v>0</x:v>
      </x:c>
      <x:c r="F12" s="397" t="n">
        <x:f>'Pro Forma Income Statement'!F36</x:f>
        <x:v>0</x:v>
      </x:c>
      <x:c r="G12" t="str">
        <x:v>Sources &amp; Uses</x:v>
      </x:c>
      <x:c r="H12" s="4"/>
      <x:c r="I12" s="4"/>
      <x:c r="J12" s="4"/>
      <x:c r="K12" s="4"/>
      <x:c r="L12" s="4"/>
      <x:c r="M12" s="4"/>
    </x:row>
    <x:row r="13">
      <x:c r="A13" s="79"/>
      <x:c r="C13" t="str">
        <x:v>Pro forma diluted shares</x:v>
      </x:c>
      <x:c r="D13" s="397" t="n">
        <x:f>'Pro Forma Income Statement'!D37</x:f>
        <x:v>844.755</x:v>
      </x:c>
      <x:c r="E13" s="397" t="n">
        <x:f>'Pro Forma Income Statement'!E37</x:f>
        <x:v>840.531225</x:v>
      </x:c>
      <x:c r="F13" s="397" t="n">
        <x:f>'Pro Forma Income Statement'!F37</x:f>
        <x:v>836.328568875</x:v>
      </x:c>
      <x:c r="G13" t="str">
        <x:v>Calculated</x:v>
      </x:c>
      <x:c r="H13" s="4"/>
      <x:c r="I13" s="4"/>
      <x:c r="J13" s="4"/>
      <x:c r="K13" s="4"/>
      <x:c r="L13" s="4"/>
      <x:c r="M13" s="4"/>
    </x:row>
    <x:row r="14">
      <x:c r="A14" s="79"/>
      <x:c r="C14" t="str">
        <x:v>UPS standalone EPS</x:v>
      </x:c>
      <x:c r="D14" s="71" t="n">
        <x:f>'Pro Forma Income Statement'!D38</x:f>
        <x:v>6.903919574314446</x:v>
      </x:c>
      <x:c r="E14" s="71" t="n">
        <x:f>'Pro Forma Income Statement'!E38</x:f>
        <x:v>7.330911121237643</x:v>
      </x:c>
      <x:c r="F14" s="71" t="n">
        <x:f>'Pro Forma Income Statement'!F38</x:f>
        <x:v>7.81531318362498</x:v>
      </x:c>
      <x:c r="G14" t="str">
        <x:v>Calculated</x:v>
      </x:c>
      <x:c r="H14" s="4"/>
      <x:c r="I14" s="4"/>
      <x:c r="J14" s="4"/>
      <x:c r="K14" s="4"/>
      <x:c r="L14" s="4"/>
      <x:c r="M14" s="4"/>
    </x:row>
    <x:row r="15">
      <x:c r="A15" s="79"/>
      <x:c r="C15" s="287" t="str">
        <x:v>Pro forma EPS</x:v>
      </x:c>
      <x:c r="D15" s="426" t="n">
        <x:f>'Pro Forma Income Statement'!D39</x:f>
        <x:v>6.741891938492492</x:v>
      </x:c>
      <x:c r="E15" s="426" t="n">
        <x:f>'Pro Forma Income Statement'!E39</x:f>
        <x:v>7.269816506407272</x:v>
      </x:c>
      <x:c r="F15" s="426" t="n">
        <x:f>'Pro Forma Income Statement'!F39</x:f>
        <x:v>7.974994432244796</x:v>
      </x:c>
      <x:c r="G15" s="287" t="str">
        <x:v>Calculated</x:v>
      </x:c>
      <x:c r="H15" s="4"/>
      <x:c r="I15" s="4"/>
      <x:c r="J15" s="4"/>
      <x:c r="K15" s="4"/>
      <x:c r="L15" s="4"/>
      <x:c r="M15" s="4"/>
    </x:row>
    <x:row r="16">
      <x:c r="A16" s="79"/>
      <x:c r="C16" t="str">
        <x:v>Accretion / (dilution) per share</x:v>
      </x:c>
      <x:c r="D16" s="71" t="n">
        <x:f>'Pro Forma Income Statement'!D40</x:f>
        <x:v>-0.16202763582195434</x:v>
      </x:c>
      <x:c r="E16" s="71" t="n">
        <x:f>'Pro Forma Income Statement'!E40</x:f>
        <x:v>-0.06109461483037126</x:v>
      </x:c>
      <x:c r="F16" s="71" t="n">
        <x:f>'Pro Forma Income Statement'!F40</x:f>
        <x:v>0.15968124861981625</x:v>
      </x:c>
      <x:c r="G16" t="str">
        <x:v>Calculated</x:v>
      </x:c>
      <x:c r="H16" s="4"/>
      <x:c r="I16" s="4"/>
      <x:c r="J16" s="4"/>
      <x:c r="K16" s="4"/>
      <x:c r="L16" s="4"/>
      <x:c r="M16" s="4"/>
    </x:row>
    <x:row r="17">
      <x:c r="A17" s="79"/>
      <x:c r="C17" s="440" t="str">
        <x:v>Accretion / (dilution) %</x:v>
      </x:c>
      <x:c r="D17" s="442" t="n">
        <x:f>'Pro Forma Income Statement'!D41</x:f>
        <x:v>-0.02346893443324094</x:v>
      </x:c>
      <x:c r="E17" s="442" t="n">
        <x:f>'Pro Forma Income Statement'!E41</x:f>
        <x:v>-0.00833383652045383</x:v>
      </x:c>
      <x:c r="F17" s="442" t="n">
        <x:f>'Pro Forma Income Statement'!F41</x:f>
        <x:v>0.02043184257214259</x:v>
      </x:c>
      <x:c r="G17" s="440" t="str">
        <x:v>Calculated</x:v>
      </x:c>
      <x:c r="H17" s="4"/>
      <x:c r="I17" s="4"/>
      <x:c r="J17" s="4"/>
      <x:c r="K17" s="4"/>
      <x:c r="L17" s="4"/>
      <x:c r="M17" s="4"/>
    </x:row>
    <x:row r="18">
      <x:c r="A18" s="79"/>
      <x:c r="C18" s="440" t="str">
        <x:v>Accretion / (dilution) status</x:v>
      </x:c>
      <x:c r="D18" s="440" t="str">
        <x:f>IF(D17&gt;=0,"Accretive","Dilutive")</x:f>
        <x:v>Dilutive</x:v>
      </x:c>
      <x:c r="E18" s="440" t="str">
        <x:f>IF(E17&gt;=0,"Accretive","Dilutive")</x:f>
        <x:v>Dilutive</x:v>
      </x:c>
      <x:c r="F18" s="440" t="str">
        <x:f>IF(F17&gt;=0,"Accretive","Dilutive")</x:f>
        <x:v>Accretive</x:v>
      </x:c>
      <x:c r="G18" s="440" t="str">
        <x:v>Calculated</x:v>
      </x:c>
      <x:c r="H18" s="4"/>
      <x:c r="I18" s="4"/>
      <x:c r="J18" s="4"/>
      <x:c r="K18" s="4"/>
      <x:c r="L18" s="4"/>
      <x:c r="M18" s="4"/>
    </x:row>
    <x:row r="19">
      <x:c r="A19" s="79"/>
      <x:c r="C19"/>
      <x:c r="D19"/>
      <x:c r="E19"/>
      <x:c r="F19"/>
      <x:c r="G19"/>
      <x:c r="H19" s="4"/>
      <x:c r="I19" s="4"/>
      <x:c r="J19" s="4"/>
      <x:c r="K19" s="4"/>
      <x:c r="L19" s="4"/>
      <x:c r="M19" s="4"/>
    </x:row>
    <x:row r="20">
      <x:c r="A20" s="79"/>
      <x:c r="C20"/>
      <x:c r="D20"/>
      <x:c r="E20"/>
      <x:c r="F20"/>
      <x:c r="G20"/>
      <x:c r="H20" s="4"/>
      <x:c r="I20" s="4"/>
      <x:c r="J20" s="4"/>
      <x:c r="K20" s="4"/>
      <x:c r="L20" s="4"/>
      <x:c r="M20" s="4"/>
    </x:row>
    <x:row r="21">
      <x:c r="A21" s="79"/>
      <x:c r="C21" s="434" t="str">
        <x:v>Transaction earnings contribution</x:v>
      </x:c>
      <x:c r="D21" s="435"/>
      <x:c r="E21" s="435"/>
      <x:c r="F21" s="435"/>
      <x:c r="G21" s="436"/>
      <x:c r="H21" s="4"/>
      <x:c r="I21" s="4"/>
      <x:c r="J21" s="4"/>
      <x:c r="K21" s="4"/>
      <x:c r="L21" s="4"/>
      <x:c r="M21" s="4"/>
    </x:row>
    <x:row r="22">
      <x:c r="A22" s="79"/>
      <x:c r="C22"/>
      <x:c r="D22"/>
      <x:c r="E22"/>
      <x:c r="F22"/>
      <x:c r="G22"/>
      <x:c r="H22" s="4"/>
      <x:c r="I22" s="4"/>
      <x:c r="J22" s="4"/>
      <x:c r="K22" s="4"/>
      <x:c r="L22" s="4"/>
      <x:c r="M22" s="4"/>
    </x:row>
    <x:row r="23">
      <x:c r="A23" s="79"/>
      <x:c r="C23" s="439" t="str">
        <x:v>Metric</x:v>
      </x:c>
      <x:c r="D23" s="439" t="str">
        <x:v>FY:26E</x:v>
      </x:c>
      <x:c r="E23" s="439" t="str">
        <x:v>FY:27E</x:v>
      </x:c>
      <x:c r="F23" s="439" t="str">
        <x:v>FY:28E</x:v>
      </x:c>
      <x:c r="G23" s="439" t="str">
        <x:v>Source / status</x:v>
      </x:c>
      <x:c r="H23" s="4"/>
      <x:c r="I23" s="4"/>
      <x:c r="J23" s="4"/>
      <x:c r="K23" s="4"/>
      <x:c r="L23" s="4"/>
      <x:c r="M23" s="4"/>
    </x:row>
    <x:row r="24">
      <x:c r="A24" s="79"/>
      <x:c r="C24" t="str">
        <x:v>GXO standalone net income</x:v>
      </x:c>
      <x:c r="D24" s="329" t="n">
        <x:f>'Pro Forma Income Statement'!D26</x:f>
        <x:v>176.58962275342466</x:v>
      </x:c>
      <x:c r="E24" s="329" t="n">
        <x:f>'Pro Forma Income Statement'!E26</x:f>
        <x:v>390.40813349999996</x:v>
      </x:c>
      <x:c r="F24" s="329" t="n">
        <x:f>'Pro Forma Income Statement'!F26</x:f>
        <x:v>440.29361722500005</x:v>
      </x:c>
      <x:c r="G24" t="str">
        <x:v>Standalone Forecasts</x:v>
      </x:c>
      <x:c r="H24" s="4"/>
      <x:c r="I24" s="4"/>
      <x:c r="J24" s="4"/>
      <x:c r="K24" s="4"/>
      <x:c r="L24" s="4"/>
      <x:c r="M24" s="4"/>
    </x:row>
    <x:row r="25">
      <x:c r="A25" s="79"/>
      <x:c r="C25" t="str">
        <x:v>After-tax cost synergies</x:v>
      </x:c>
      <x:c r="D25" s="329" t="n">
        <x:f>'Pro Forma Income Statement'!D27</x:f>
        <x:v>36.19791095890411</x:v>
      </x:c>
      <x:c r="E25" s="329" t="n">
        <x:f>'Pro Forma Income Statement'!E27</x:f>
        <x:v>153.0375</x:v>
      </x:c>
      <x:c r="F25" s="329" t="n">
        <x:f>'Pro Forma Income Statement'!F27</x:f>
        <x:v>204.05</x:v>
      </x:c>
      <x:c r="G25" t="str">
        <x:v>A09–A12</x:v>
      </x:c>
      <x:c r="H25" s="4"/>
      <x:c r="I25" s="4"/>
      <x:c r="J25" s="4"/>
      <x:c r="K25" s="4"/>
      <x:c r="L25" s="4"/>
      <x:c r="M25" s="4"/>
    </x:row>
    <x:row r="26">
      <x:c r="A26" s="79"/>
      <x:c r="C26" t="str">
        <x:v>After-tax GXO legacy interest add-back</x:v>
      </x:c>
      <x:c r="D26" s="329" t="n">
        <x:f>'Pro Forma Income Statement'!D28</x:f>
        <x:v>51.90643835616439</x:v>
      </x:c>
      <x:c r="E26" s="329" t="n">
        <x:f>'Pro Forma Income Statement'!E28</x:f>
        <x:v>102.41</x:v>
      </x:c>
      <x:c r="F26" s="329" t="n">
        <x:f>'Pro Forma Income Statement'!F28</x:f>
        <x:v>102.41</x:v>
      </x:c>
      <x:c r="G26" t="str">
        <x:v>Target Financials</x:v>
      </x:c>
      <x:c r="H26" s="4"/>
      <x:c r="I26" s="4"/>
      <x:c r="J26" s="4"/>
      <x:c r="K26" s="4"/>
      <x:c r="L26" s="4"/>
      <x:c r="M26" s="4"/>
    </x:row>
    <x:row r="27">
      <x:c r="A27" s="79"/>
      <x:c r="C27" t="str">
        <x:v>After-tax acquisition financing cost</x:v>
      </x:c>
      <x:c r="D27" s="329" t="n">
        <x:f>'Pro Forma Income Statement'!D29</x:f>
        <x:v>-194.68605476450108</x:v>
      </x:c>
      <x:c r="E27" s="329" t="n">
        <x:f>'Pro Forma Income Statement'!E29</x:f>
        <x:v>-366.0190760932758</x:v>
      </x:c>
      <x:c r="F27" s="329" t="n">
        <x:f>'Pro Forma Income Statement'!F29</x:f>
        <x:v>-343.2341382396164</x:v>
      </x:c>
      <x:c r="G27" t="str">
        <x:v>Financing</x:v>
      </x:c>
      <x:c r="H27" s="4"/>
      <x:c r="I27" s="4"/>
      <x:c r="J27" s="4"/>
      <x:c r="K27" s="4"/>
      <x:c r="L27" s="4"/>
      <x:c r="M27" s="4"/>
    </x:row>
    <x:row r="28">
      <x:c r="A28" s="79"/>
      <x:c r="C28" t="str">
        <x:v>After-tax lost interest income</x:v>
      </x:c>
      <x:c r="D28" s="329" t="n">
        <x:f>'Pro Forma Income Statement'!D30</x:f>
        <x:v>-31.22191780821918</x:v>
      </x:c>
      <x:c r="E28" s="329" t="n">
        <x:f>'Pro Forma Income Statement'!E30</x:f>
        <x:v>-61.6</x:v>
      </x:c>
      <x:c r="F28" s="329" t="n">
        <x:f>'Pro Forma Income Statement'!F30</x:f>
        <x:v>-61.6</x:v>
      </x:c>
      <x:c r="G28" t="str">
        <x:v>A02 / A06</x:v>
      </x:c>
      <x:c r="H28" s="4"/>
      <x:c r="I28" s="4"/>
      <x:c r="J28" s="4"/>
      <x:c r="K28" s="4"/>
      <x:c r="L28" s="4"/>
      <x:c r="M28" s="4"/>
    </x:row>
    <x:row r="29">
      <x:c r="A29" s="79"/>
      <x:c r="C29" t="str">
        <x:v>After-tax purchase-accounting expense</x:v>
      </x:c>
      <x:c r="D29" s="329" t="n">
        <x:f>'Pro Forma Income Statement'!D31</x:f>
        <x:v>-98.09270293975341</x:v>
      </x:c>
      <x:c r="E29" s="329" t="n">
        <x:f>'Pro Forma Income Statement'!E31</x:f>
        <x:v>-162.462238851</x:v>
      </x:c>
      <x:c r="F29" s="329" t="n">
        <x:f>'Pro Forma Income Statement'!F31</x:f>
        <x:v>-162.462238851</x:v>
      </x:c>
      <x:c r="G29" t="str">
        <x:v>Purchase Accounting</x:v>
      </x:c>
      <x:c r="H29" s="4"/>
      <x:c r="I29" s="4"/>
      <x:c r="J29" s="4"/>
      <x:c r="K29" s="4"/>
      <x:c r="L29" s="4"/>
      <x:c r="M29" s="4"/>
    </x:row>
    <x:row r="30">
      <x:c r="A30" s="79"/>
      <x:c r="C30" t="str">
        <x:v>After-tax integration costs</x:v>
      </x:c>
      <x:c r="D30" s="329" t="n">
        <x:f>'Pro Forma Income Statement'!D32</x:f>
        <x:v>-77.56695205479453</x:v>
      </x:c>
      <x:c r="E30" s="329" t="n">
        <x:f>'Pro Forma Income Statement'!E32</x:f>
        <x:v>-107.12625</x:v>
      </x:c>
      <x:c r="F30" s="329" t="n">
        <x:f>'Pro Forma Income Statement'!F32</x:f>
        <x:v>-45.91125</x:v>
      </x:c>
      <x:c r="G30" t="str">
        <x:v>Financing</x:v>
      </x:c>
      <x:c r="H30" s="4"/>
      <x:c r="I30" s="4"/>
      <x:c r="J30" s="4"/>
      <x:c r="K30" s="4"/>
      <x:c r="L30" s="4"/>
      <x:c r="M30" s="4"/>
    </x:row>
    <x:row r="31">
      <x:c r="A31" s="79"/>
      <x:c r="C31" s="287" t="str">
        <x:v>Net transaction earnings contribution</x:v>
      </x:c>
      <x:c r="D31" s="332" t="n">
        <x:f>'Pro Forma Income Statement'!D34</x:f>
        <x:v>-136.8736554987754</x:v>
      </x:c>
      <x:c r="E31" s="332" t="n">
        <x:f>'Pro Forma Income Statement'!E34</x:f>
        <x:v>-51.35193144427558</x:v>
      </x:c>
      <x:c r="F31" s="332" t="n">
        <x:f>'Pro Forma Income Statement'!F34</x:f>
        <x:v>133.54599013438383</x:v>
      </x:c>
      <x:c r="G31" s="287" t="str">
        <x:v>Calculated</x:v>
      </x:c>
      <x:c r="H31" s="4"/>
      <x:c r="I31" s="4"/>
      <x:c r="J31" s="4"/>
      <x:c r="K31" s="4"/>
      <x:c r="L31" s="4"/>
      <x:c r="M31" s="4"/>
    </x:row>
    <x:row r="32">
      <x:c r="A32" s="79"/>
      <x:c r="C32" t="str">
        <x:v>Contribution per pro forma share</x:v>
      </x:c>
      <x:c r="D32" s="297" t="n">
        <x:f>D31/D13</x:f>
        <x:v>-0.16202763582195479</x:v>
      </x:c>
      <x:c r="E32" s="297" t="n">
        <x:f>E31/E13</x:f>
        <x:v>-0.061094614830371805</x:v>
      </x:c>
      <x:c r="F32" s="297" t="n">
        <x:f>F31/F13</x:f>
        <x:v>0.15968124861981606</x:v>
      </x:c>
      <x:c r="G32" t="str">
        <x:v>Calculated</x:v>
      </x:c>
      <x:c r="H32" s="4"/>
      <x:c r="I32" s="4"/>
      <x:c r="J32" s="4"/>
      <x:c r="K32" s="4"/>
      <x:c r="L32" s="4"/>
      <x:c r="M32" s="4"/>
    </x:row>
    <x:row r="33">
      <x:c r="A33" s="79"/>
      <x:c r="C33"/>
      <x:c r="D33"/>
      <x:c r="E33"/>
      <x:c r="F33"/>
      <x:c r="G33"/>
      <x:c r="H33" s="4"/>
      <x:c r="I33" s="4"/>
      <x:c r="J33" s="4"/>
      <x:c r="K33" s="4"/>
      <x:c r="L33" s="4"/>
      <x:c r="M33" s="4"/>
    </x:row>
    <x:row r="34">
      <x:c r="A34" s="79"/>
      <x:c r="C34"/>
      <x:c r="D34"/>
      <x:c r="E34"/>
      <x:c r="F34"/>
      <x:c r="G34"/>
      <x:c r="H34" s="4"/>
      <x:c r="I34" s="4"/>
      <x:c r="J34" s="4"/>
      <x:c r="K34" s="4"/>
      <x:c r="L34" s="4"/>
      <x:c r="M34" s="4"/>
    </x:row>
    <x:row r="35">
      <x:c r="A35" s="79"/>
      <x:c r="C35" s="434" t="str">
        <x:v>Synergy breakeven</x:v>
      </x:c>
      <x:c r="D35" s="435"/>
      <x:c r="E35" s="435"/>
      <x:c r="F35" s="435"/>
      <x:c r="G35" s="436"/>
      <x:c r="H35" s="4"/>
      <x:c r="I35" s="4"/>
      <x:c r="J35" s="4"/>
      <x:c r="K35" s="4"/>
      <x:c r="L35" s="4"/>
      <x:c r="M35" s="4"/>
    </x:row>
    <x:row r="36">
      <x:c r="A36" s="79"/>
      <x:c r="C36"/>
      <x:c r="D36"/>
      <x:c r="E36"/>
      <x:c r="F36"/>
      <x:c r="G36"/>
      <x:c r="H36" s="4"/>
      <x:c r="I36" s="4"/>
      <x:c r="J36" s="4"/>
      <x:c r="K36" s="4"/>
      <x:c r="L36" s="4"/>
      <x:c r="M36" s="4"/>
    </x:row>
    <x:row r="37">
      <x:c r="A37" s="79"/>
      <x:c r="C37" s="439" t="str">
        <x:v>Metric</x:v>
      </x:c>
      <x:c r="D37" s="439" t="str">
        <x:v>FY:26E</x:v>
      </x:c>
      <x:c r="E37" s="439" t="str">
        <x:v>FY:27E</x:v>
      </x:c>
      <x:c r="F37" s="439" t="str">
        <x:v>FY:28E</x:v>
      </x:c>
      <x:c r="G37" s="439" t="str">
        <x:v>Source / status</x:v>
      </x:c>
      <x:c r="H37" s="4"/>
      <x:c r="I37" s="4"/>
      <x:c r="J37" s="4"/>
      <x:c r="K37" s="4"/>
      <x:c r="L37" s="4"/>
      <x:c r="M37" s="4"/>
    </x:row>
    <x:row r="38">
      <x:c r="A38" s="79"/>
      <x:c r="C38" t="str">
        <x:v>Pro forma net income before synergies</x:v>
      </x:c>
      <x:c r="D38" s="328" t="n">
        <x:f>D10-D25</x:f>
        <x:v>5659.049013542321</x:v>
      </x:c>
      <x:c r="E38" s="328" t="n">
        <x:f>E10-E25</x:f>
        <x:v>5957.470273655724</x:v>
      </x:c>
      <x:c r="F38" s="328" t="n">
        <x:f>F10-F25</x:f>
        <x:v>6465.665680305383</x:v>
      </x:c>
      <x:c r="G38" t="str">
        <x:v>Calculated</x:v>
      </x:c>
      <x:c r="H38" s="4"/>
      <x:c r="I38" s="4"/>
      <x:c r="J38" s="4"/>
      <x:c r="K38" s="4"/>
      <x:c r="L38" s="4"/>
      <x:c r="M38" s="4"/>
    </x:row>
    <x:row r="39">
      <x:c r="A39" s="79"/>
      <x:c r="C39" t="str">
        <x:v>After-tax synergies required for EPS breakeven</x:v>
      </x:c>
      <x:c r="D39" s="328" t="n">
        <x:f>MAX(0,D14*D13-D38)</x:f>
        <x:v>173.07156645767918</x:v>
      </x:c>
      <x:c r="E39" s="328" t="n">
        <x:f>MAX(0,E14*E13-E38)</x:f>
        <x:v>204.38943144427594</x:v>
      </x:c>
      <x:c r="F39" s="328" t="n">
        <x:f>MAX(0,F14*F13-F38)</x:f>
        <x:v>70.50400986561635</x:v>
      </x:c>
      <x:c r="G39" t="str">
        <x:v>Calculated</x:v>
      </x:c>
      <x:c r="H39" s="4"/>
      <x:c r="I39" s="4"/>
      <x:c r="J39" s="4"/>
      <x:c r="K39" s="4"/>
      <x:c r="L39" s="4"/>
      <x:c r="M39" s="4"/>
    </x:row>
    <x:row r="40">
      <x:c r="A40" s="79"/>
      <x:c r="C40" t="str">
        <x:v>Pre-tax synergies required for EPS breakeven</x:v>
      </x:c>
      <x:c r="D40" s="328" t="n">
        <x:f>D39/(1-'Transaction Assumptions'!$D$24)</x:f>
        <x:v>224.76826812685607</x:v>
      </x:c>
      <x:c r="E40" s="328" t="n">
        <x:f>E39/(1-'Transaction Assumptions'!$D$24)</x:f>
        <x:v>265.44082005750124</x:v>
      </x:c>
      <x:c r="F40" s="328" t="n">
        <x:f>F39/(1-'Transaction Assumptions'!$D$24)</x:f>
        <x:v>91.56364917612514</x:v>
      </x:c>
      <x:c r="G40" t="str">
        <x:v>Calculated</x:v>
      </x:c>
      <x:c r="H40" s="4"/>
      <x:c r="I40" s="4"/>
      <x:c r="J40" s="4"/>
      <x:c r="K40" s="4"/>
      <x:c r="L40" s="4"/>
      <x:c r="M40" s="4"/>
    </x:row>
    <x:row r="41">
      <x:c r="A41" s="79"/>
      <x:c r="C41" t="str">
        <x:v>Modelled pre-tax synergies</x:v>
      </x:c>
      <x:c r="D41" s="329" t="n">
        <x:f>'Pro Forma Income Statement'!D14</x:f>
        <x:v>47.01027397260274</x:v>
      </x:c>
      <x:c r="E41" s="329" t="n">
        <x:f>'Pro Forma Income Statement'!E14</x:f>
        <x:v>198.75</x:v>
      </x:c>
      <x:c r="F41" s="329" t="n">
        <x:f>'Pro Forma Income Statement'!F14</x:f>
        <x:v>265</x:v>
      </x:c>
      <x:c r="G41" t="str">
        <x:v>Pro Forma Income Statement</x:v>
      </x:c>
      <x:c r="H41" s="4"/>
      <x:c r="I41" s="4"/>
      <x:c r="J41" s="4"/>
      <x:c r="K41" s="4"/>
      <x:c r="L41" s="4"/>
      <x:c r="M41" s="4"/>
    </x:row>
    <x:row r="42">
      <x:c r="A42" s="79"/>
      <x:c r="C42" t="str">
        <x:v>Synergy surplus / (shortfall)</x:v>
      </x:c>
      <x:c r="D42" s="328" t="n">
        <x:f>D41-D40</x:f>
        <x:v>-177.75799415425334</x:v>
      </x:c>
      <x:c r="E42" s="328" t="n">
        <x:f>E41-E40</x:f>
        <x:v>-66.69082005750124</x:v>
      </x:c>
      <x:c r="F42" s="328" t="n">
        <x:f>F41-F40</x:f>
        <x:v>173.43635082387488</x:v>
      </x:c>
      <x:c r="G42" t="str">
        <x:v>Calculated</x:v>
      </x:c>
      <x:c r="H42" s="4"/>
      <x:c r="I42" s="4"/>
      <x:c r="J42" s="4"/>
      <x:c r="K42" s="4"/>
      <x:c r="L42" s="4"/>
      <x:c r="M42" s="4"/>
    </x:row>
    <x:row r="43">
      <x:c r="A43" s="79"/>
      <x:c r="C43" t="str">
        <x:v>Modelled synergy coverage</x:v>
      </x:c>
      <x:c r="D43" s="294" t="n">
        <x:f>IF(D40=0,0,D41/D40)</x:f>
        <x:v>0.20914995859678376</x:v>
      </x:c>
      <x:c r="E43" s="294" t="n">
        <x:f>IF(E40=0,0,E41/E40)</x:f>
        <x:v>0.7487544679712249</x:v>
      </x:c>
      <x:c r="F43" s="294" t="n">
        <x:f>IF(F40=0,0,F41/F40)</x:f>
        <x:v>2.894161628380116</x:v>
      </x:c>
      <x:c r="G43" t="str">
        <x:v>Calculated</x:v>
      </x:c>
      <x:c r="H43" s="4"/>
      <x:c r="I43" s="4"/>
      <x:c r="J43" s="4"/>
      <x:c r="K43" s="4"/>
      <x:c r="L43" s="4"/>
      <x:c r="M43" s="4"/>
    </x:row>
    <x:row r="44">
      <x:c r="A44" s="79"/>
      <x:c r="C44" t="str">
        <x:v>EPS accretion without synergies</x:v>
      </x:c>
      <x:c r="D44" s="130" t="n">
        <x:f>(D38/D13)/D14-1</x:f>
        <x:v>-0.029675580962984727</x:v>
      </x:c>
      <x:c r="E44" s="130" t="n">
        <x:f>(E38/E13)/E14-1</x:f>
        <x:v>-0.033170088451560886</x:v>
      </x:c>
      <x:c r="F44" s="130" t="n">
        <x:f>(F38/F13)/F14-1</x:f>
        <x:v>-0.010786747163501476</x:v>
      </x:c>
      <x:c r="G44" t="str">
        <x:v>Calculated</x:v>
      </x:c>
      <x:c r="H44" s="4"/>
      <x:c r="I44" s="4"/>
      <x:c r="J44" s="4"/>
      <x:c r="K44" s="4"/>
      <x:c r="L44" s="4"/>
      <x:c r="M44" s="4"/>
    </x:row>
    <x:row r="45">
      <x:c r="A45" s="79"/>
      <x:c r="C45" s="516" t="str">
        <x:v>Deal return and credit metrics</x:v>
      </x:c>
      <x:c r="D45" s="517"/>
      <x:c r="E45" s="517"/>
      <x:c r="F45" s="517"/>
      <x:c r="G45" s="518"/>
      <x:c r="H45" s="4"/>
      <x:c r="I45" s="4"/>
      <x:c r="J45" s="4"/>
      <x:c r="K45" s="4"/>
      <x:c r="L45" s="4"/>
      <x:c r="M45" s="4"/>
    </x:row>
    <x:row r="46">
      <x:c r="A46" s="79"/>
      <x:c r="C46"/>
      <x:c r="D46"/>
      <x:c r="E46"/>
      <x:c r="F46"/>
      <x:c r="G46"/>
      <x:c r="H46" s="4"/>
      <x:c r="I46" s="4"/>
      <x:c r="J46" s="4"/>
      <x:c r="K46" s="4"/>
      <x:c r="L46" s="4"/>
      <x:c r="M46" s="4"/>
    </x:row>
    <x:row r="47">
      <x:c r="A47" s="79"/>
      <x:c r="C47" s="522" t="str">
        <x:v>Metric</x:v>
      </x:c>
      <x:c r="D47" s="531" t="str">
        <x:v>FY:26E</x:v>
      </x:c>
      <x:c r="E47" s="531" t="str">
        <x:v>FY:27E</x:v>
      </x:c>
      <x:c r="F47" s="531" t="str">
        <x:v>FY:28E</x:v>
      </x:c>
      <x:c r="G47" s="531" t="str">
        <x:v>Source / status</x:v>
      </x:c>
      <x:c r="H47" s="4"/>
      <x:c r="I47" s="4"/>
      <x:c r="J47" s="4"/>
      <x:c r="K47" s="4"/>
      <x:c r="L47" s="4"/>
      <x:c r="M47" s="4"/>
    </x:row>
    <x:row r="48">
      <x:c r="A48" s="79"/>
      <x:c r="C48" s="298" t="str">
        <x:v>Pro forma gross debt</x:v>
      </x:c>
      <x:c r="D48" s="533" t="n">
        <x:f>'Buyer Financials'!$F$35+'Financing'!E$13</x:f>
        <x:v>32449.035998400035</x:v>
      </x:c>
      <x:c r="E48" s="533" t="n">
        <x:f>'Buyer Financials'!$F$35+'Financing'!F$13</x:f>
        <x:v>31920.401042294823</x:v>
      </x:c>
      <x:c r="F48" s="533" t="n">
        <x:f>'Buyer Financials'!$F$35+'Financing'!G$13</x:f>
        <x:v>31291.620581450283</x:v>
      </x:c>
      <x:c r="G48" s="538" t="str">
        <x:v>Buyer Financials / Financing</x:v>
      </x:c>
      <x:c r="H48" s="4"/>
      <x:c r="I48" s="4"/>
      <x:c r="J48" s="4"/>
      <x:c r="K48" s="4"/>
      <x:c r="L48" s="4"/>
      <x:c r="M48" s="4"/>
    </x:row>
    <x:row r="49">
      <x:c r="A49" s="79"/>
      <x:c r="C49" s="298" t="str">
        <x:v>Pro forma net debt</x:v>
      </x:c>
      <x:c r="D49" s="533" t="n">
        <x:f>D48-MAX(0,'Buyer Financials'!$F$26-'Transaction Assumptions'!$D$19)</x:f>
        <x:v>28562.035998400035</x:v>
      </x:c>
      <x:c r="E49" s="533" t="n">
        <x:f>E48-MAX(0,'Buyer Financials'!$F$26-'Transaction Assumptions'!$D$19)</x:f>
        <x:v>28033.401042294823</x:v>
      </x:c>
      <x:c r="F49" s="533" t="n">
        <x:f>F48-MAX(0,'Buyer Financials'!$F$26-'Transaction Assumptions'!$D$19)</x:f>
        <x:v>27404.620581450283</x:v>
      </x:c>
      <x:c r="G49" s="538" t="str">
        <x:v>Calculated</x:v>
      </x:c>
      <x:c r="H49" s="4"/>
      <x:c r="I49" s="4"/>
      <x:c r="J49" s="4"/>
      <x:c r="K49" s="4"/>
      <x:c r="L49" s="4"/>
      <x:c r="M49" s="4"/>
    </x:row>
    <x:row r="50">
      <x:c r="A50" s="79"/>
      <x:c r="C50" t="str">
        <x:v>Gross leverage</x:v>
      </x:c>
      <x:c r="D50" s="534" t="n">
        <x:f>D48/('Standalone Forecasts'!G$17+'Standalone Forecasts'!G$30+'Financing'!E$25)</x:f>
        <x:v>2.4170621548901723</x:v>
      </x:c>
      <x:c r="E50" s="534" t="n">
        <x:f>E48/('Standalone Forecasts'!H$17+'Standalone Forecasts'!H$30+'Financing'!F$25)</x:f>
        <x:v>2.263712688074742</x:v>
      </x:c>
      <x:c r="F50" s="534" t="n">
        <x:f>F48/('Standalone Forecasts'!I$17+'Standalone Forecasts'!I$30+'Financing'!G$25)</x:f>
        <x:v>2.110794045233211</x:v>
      </x:c>
      <x:c r="G50" s="132" t="str">
        <x:v>Calculated</x:v>
      </x:c>
      <x:c r="H50" s="4"/>
      <x:c r="I50" s="4"/>
      <x:c r="J50" s="4"/>
      <x:c r="K50" s="4"/>
      <x:c r="L50" s="4"/>
      <x:c r="M50" s="4"/>
    </x:row>
    <x:row r="51">
      <x:c r="A51" s="79"/>
      <x:c r="C51" t="str">
        <x:v>Net leverage</x:v>
      </x:c>
      <x:c r="D51" s="534" t="n">
        <x:f>D49/('Standalone Forecasts'!G$17+'Standalone Forecasts'!G$30+'Financing'!E$25)</x:f>
        <x:v>2.127527495169577</x:v>
      </x:c>
      <x:c r="E51" s="534" t="n">
        <x:f>E49/('Standalone Forecasts'!H$17+'Standalone Forecasts'!H$30+'Financing'!F$25)</x:f>
        <x:v>1.988056652084226</x:v>
      </x:c>
      <x:c r="F51" s="534" t="n">
        <x:f>F49/('Standalone Forecasts'!I$17+'Standalone Forecasts'!I$30+'Financing'!G$25)</x:f>
        <x:v>1.8485942517624556</x:v>
      </x:c>
      <x:c r="G51" s="132" t="str">
        <x:v>Calculated</x:v>
      </x:c>
      <x:c r="H51" s="4"/>
      <x:c r="I51" s="4"/>
      <x:c r="J51" s="4"/>
      <x:c r="K51" s="4"/>
      <x:c r="L51" s="4"/>
      <x:c r="M51" s="4"/>
    </x:row>
    <x:row r="52">
      <x:c r="A52" s="79"/>
      <x:c r="C52" t="str">
        <x:v>Interest coverage</x:v>
      </x:c>
      <x:c r="D52" s="534" t="n">
        <x:f>('Standalone Forecasts'!G$17+'Standalone Forecasts'!G$30+'Financing'!E$25)/(ABS('Buyer Financials'!$F$15)+'Financing'!E$15)</x:f>
        <x:v>8.982498882596373</x:v>
      </x:c>
      <x:c r="E52" s="534" t="n">
        <x:f>('Standalone Forecasts'!H$17+'Standalone Forecasts'!H$30+'Financing'!F$25)/(ABS('Buyer Financials'!$F$15)+'Financing'!F$15)</x:f>
        <x:v>9.585432198058292</x:v>
      </x:c>
      <x:c r="F52" s="534" t="n">
        <x:f>('Standalone Forecasts'!I$17+'Standalone Forecasts'!I$30+'Financing'!G$25)/(ABS('Buyer Financials'!$F$15)+'Financing'!G$15)</x:f>
        <x:v>10.284230153907792</x:v>
      </x:c>
      <x:c r="G52" s="132" t="str">
        <x:v>Calculated</x:v>
      </x:c>
      <x:c r="H52" s="4"/>
      <x:c r="I52" s="4"/>
      <x:c r="J52" s="4"/>
      <x:c r="K52" s="4"/>
      <x:c r="L52" s="4"/>
      <x:c r="M52" s="4"/>
    </x:row>
    <x:row r="53">
      <x:c r="A53" s="79"/>
      <x:c r="C53" t="str">
        <x:v>Purchase-price premium</x:v>
      </x:c>
      <x:c r="D53" s="535" t="n">
        <x:f>'Transaction Assumptions'!$D$8</x:f>
        <x:v>0.3</x:v>
      </x:c>
      <x:c r="E53" s="535" t="n">
        <x:f>'Transaction Assumptions'!$D$8</x:f>
        <x:v>0.3</x:v>
      </x:c>
      <x:c r="F53" s="535" t="n">
        <x:f>'Transaction Assumptions'!$D$8</x:f>
        <x:v>0.3</x:v>
      </x:c>
      <x:c r="G53" s="132" t="str">
        <x:v>Transaction Assumptions</x:v>
      </x:c>
      <x:c r="H53" s="4"/>
      <x:c r="I53" s="4"/>
      <x:c r="J53" s="4"/>
      <x:c r="K53" s="4"/>
      <x:c r="L53" s="4"/>
      <x:c r="M53" s="4"/>
    </x:row>
    <x:row r="54">
      <x:c r="A54" s="79"/>
      <x:c r="C54" t="str">
        <x:v>Cost synergies / target costs</x:v>
      </x:c>
      <x:c r="D54" s="535" t="n">
        <x:f>'Financing'!E$25/('Standalone Forecasts'!G$28-'Standalone Forecasts'!G$30)</x:f>
        <x:v>0.007234332133255</x:v>
      </x:c>
      <x:c r="E54" s="535" t="n">
        <x:f>'Financing'!F$25/('Standalone Forecasts'!H$28-'Standalone Forecasts'!H$30)</x:f>
        <x:v>0.0147957277214042</x:v>
      </x:c>
      <x:c r="F54" s="535" t="n">
        <x:f>'Financing'!G$25/('Standalone Forecasts'!I$28-'Standalone Forecasts'!I$30)</x:f>
        <x:v>0.01882876122420438</x:v>
      </x:c>
      <x:c r="G54" s="132" t="str">
        <x:v>Calculated</x:v>
      </x:c>
      <x:c r="H54" s="4"/>
      <x:c r="I54" s="4"/>
      <x:c r="J54" s="4"/>
      <x:c r="K54" s="4"/>
      <x:c r="L54" s="4"/>
      <x:c r="M54" s="4"/>
    </x:row>
    <x:row r="55">
      <x:c r="A55" s="79"/>
      <x:c r="C55" t="str">
        <x:v>Target NOPAT</x:v>
      </x:c>
      <x:c r="D55" s="536" t="n">
        <x:f>'Standalone Forecasts'!G$33*(1-'Transaction Assumptions'!$D$24)*'Pro Forma Income Statement'!$D$20</x:f>
        <x:v>182.73187050136985</x:v>
      </x:c>
      <x:c r="E55" s="536" t="n">
        <x:f>'Standalone Forecasts'!H$33*(1-'Transaction Assumptions'!$D$24)</x:f>
        <x:v>411.9528786449999</x:v>
      </x:c>
      <x:c r="F55" s="536" t="n">
        <x:f>'Standalone Forecasts'!I$33*(1-'Transaction Assumptions'!$D$24)</x:f>
        <x:v>467.6221865699999</x:v>
      </x:c>
      <x:c r="G55" s="132" t="str">
        <x:v>Standalone Forecasts</x:v>
      </x:c>
      <x:c r="H55" s="4"/>
      <x:c r="I55" s="4"/>
      <x:c r="J55" s="4"/>
      <x:c r="K55" s="4"/>
      <x:c r="L55" s="4"/>
      <x:c r="M55" s="4"/>
    </x:row>
    <x:row r="56">
      <x:c r="A56" s="79"/>
      <x:c r="C56" t="str">
        <x:v>After-tax cost synergies</x:v>
      </x:c>
      <x:c r="D56" s="536" t="n">
        <x:f>'Pro Forma Income Statement'!D$14*(1-'Transaction Assumptions'!$D$24)</x:f>
        <x:v>36.19791095890411</x:v>
      </x:c>
      <x:c r="E56" s="536" t="n">
        <x:f>'Financing'!F$25*(1-'Transaction Assumptions'!$D$24)</x:f>
        <x:v>153.0375</x:v>
      </x:c>
      <x:c r="F56" s="536" t="n">
        <x:f>'Financing'!G$25*(1-'Transaction Assumptions'!$D$24)</x:f>
        <x:v>204.05</x:v>
      </x:c>
      <x:c r="G56" s="132" t="str">
        <x:v>Financing</x:v>
      </x:c>
      <x:c r="H56" s="4"/>
      <x:c r="I56" s="4"/>
      <x:c r="J56" s="4"/>
      <x:c r="K56" s="4"/>
      <x:c r="L56" s="4"/>
      <x:c r="M56" s="4"/>
    </x:row>
    <x:row r="57">
      <x:c r="A57" s="79"/>
      <x:c r="C57" t="str">
        <x:v>Incremental ROIC</x:v>
      </x:c>
      <x:c r="D57" s="535" t="n">
        <x:f>SUM(D55:D56)/'Transaction Valuation'!$D$24</x:f>
        <x:v>0.021293248065096967</x:v>
      </x:c>
      <x:c r="E57" s="535" t="n">
        <x:f>SUM(E55:E56)/'Transaction Valuation'!$D$24</x:f>
        <x:v>0.054951319124502226</x:v>
      </x:c>
      <x:c r="F57" s="535" t="n">
        <x:f>SUM(F55:F56)/'Transaction Valuation'!$D$24</x:f>
        <x:v>0.06532725877523561</x:v>
      </x:c>
      <x:c r="G57" s="132" t="str">
        <x:v>Calculated</x:v>
      </x:c>
      <x:c r="H57" s="4"/>
      <x:c r="I57" s="4"/>
      <x:c r="J57" s="4"/>
      <x:c r="K57" s="4"/>
      <x:c r="L57" s="4"/>
      <x:c r="M57" s="4"/>
    </x:row>
    <x:row r="58">
      <x:c r="A58" s="79"/>
      <x:c r="C58" t="str">
        <x:v>Illustrative UPS WACC</x:v>
      </x:c>
      <x:c r="D58" s="535" t="n">
        <x:f>'Transaction Assumptions'!$D$78</x:f>
        <x:v>0.075</x:v>
      </x:c>
      <x:c r="E58" s="535" t="n">
        <x:f>'Transaction Assumptions'!$D$78</x:f>
        <x:v>0.075</x:v>
      </x:c>
      <x:c r="F58" s="535" t="n">
        <x:f>'Transaction Assumptions'!$D$78</x:f>
        <x:v>0.075</x:v>
      </x:c>
      <x:c r="G58" s="132" t="str">
        <x:v>A39</x:v>
      </x:c>
      <x:c r="H58" s="4"/>
      <x:c r="I58" s="4"/>
      <x:c r="J58" s="4"/>
      <x:c r="K58" s="4"/>
      <x:c r="L58" s="4"/>
      <x:c r="M58" s="4"/>
    </x:row>
    <x:row r="59">
      <x:c r="A59" s="79"/>
      <x:c r="C59" t="str">
        <x:v>ROIC less WACC</x:v>
      </x:c>
      <x:c r="D59" s="539" t="n">
        <x:f>D57-D58</x:f>
        <x:v>-0.05370675193490303</x:v>
      </x:c>
      <x:c r="E59" s="539" t="n">
        <x:f>E57-E58</x:f>
        <x:v>-0.02004868087549777</x:v>
      </x:c>
      <x:c r="F59" s="539" t="n">
        <x:f>F57-F58</x:f>
        <x:v>-0.009672741224764386</x:v>
      </x:c>
      <x:c r="G59" s="132" t="str">
        <x:v>Calculated</x:v>
      </x:c>
      <x:c r="H59" s="4"/>
      <x:c r="I59" s="4"/>
      <x:c r="J59" s="4"/>
      <x:c r="K59" s="4"/>
      <x:c r="L59" s="4"/>
      <x:c r="M59" s="4"/>
    </x:row>
    <x:row r="60">
      <x:c r="A60" s="79"/>
      <x:c r="C60" t="str">
        <x:v>Buyer EPS accretion / (dilution)</x:v>
      </x:c>
      <x:c r="D60" s="535" t="n">
        <x:f>D$17</x:f>
        <x:v>-0.02346893443324094</x:v>
      </x:c>
      <x:c r="E60" s="535" t="n">
        <x:f>E$17</x:f>
        <x:v>-0.00833383652045383</x:v>
      </x:c>
      <x:c r="F60" s="540" t="n">
        <x:f>F$17</x:f>
        <x:v>0.02043184257214259</x:v>
      </x:c>
      <x:c r="G60" s="132" t="str">
        <x:v>Accretion-Dilution</x:v>
      </x:c>
      <x:c r="H60" s="4"/>
      <x:c r="I60" s="4"/>
      <x:c r="J60" s="4"/>
      <x:c r="K60" s="4"/>
      <x:c r="L60" s="4"/>
      <x:c r="M60" s="4"/>
    </x:row>
    <x:row r="61">
      <x:c r="A61" s="79"/>
      <x:c r="C61" t="str">
        <x:v>Breakeven pre-tax synergies</x:v>
      </x:c>
      <x:c r="D61" s="536" t="n">
        <x:f>D$40</x:f>
        <x:v>224.76826812685607</x:v>
      </x:c>
      <x:c r="E61" s="536" t="n">
        <x:f>E$40</x:f>
        <x:v>265.44082005750124</x:v>
      </x:c>
      <x:c r="F61" s="536" t="n">
        <x:f>F$40</x:f>
        <x:v>91.56364917612514</x:v>
      </x:c>
      <x:c r="G61" s="132" t="str">
        <x:v>Synergy breakeven</x:v>
      </x:c>
      <x:c r="H61" s="4"/>
      <x:c r="I61" s="4"/>
      <x:c r="J61" s="4"/>
      <x:c r="K61" s="4"/>
      <x:c r="L61" s="4"/>
      <x:c r="M61" s="4"/>
    </x:row>
    <x:row r="62">
      <x:c r="A62" s="79"/>
      <x:c r="C62" t="str">
        <x:v>Breakeven offer price per share</x:v>
      </x:c>
      <x:c r="D62" s="537" t="n">
        <x:f>D76</x:f>
        <x:v>52.34615341306623</x:v>
      </x:c>
      <x:c r="E62" s="537" t="n">
        <x:f>E76</x:f>
        <x:v>62.14514140865754</x:v>
      </x:c>
      <x:c r="F62" s="537" t="n">
        <x:f>F76</x:f>
        <x:v>87.49329833836234</x:v>
      </x:c>
      <x:c r="G62" s="132" t="str">
        <x:v>Calculated</x:v>
      </x:c>
      <x:c r="H62" s="4"/>
      <x:c r="I62" s="4"/>
      <x:c r="J62" s="4"/>
      <x:c r="K62" s="4"/>
      <x:c r="L62" s="4"/>
      <x:c r="M62" s="4"/>
    </x:row>
    <x:row r="63">
      <x:c r="A63" s="79"/>
      <x:c r="C63"/>
      <x:c r="D63"/>
      <x:c r="E63"/>
      <x:c r="F63"/>
      <x:c r="G63"/>
      <x:c r="H63" s="4"/>
      <x:c r="I63" s="4"/>
      <x:c r="J63" s="4"/>
      <x:c r="K63" s="4"/>
      <x:c r="L63" s="4"/>
      <x:c r="M63" s="4"/>
    </x:row>
    <x:row r="64">
      <x:c r="A64" s="79"/>
      <x:c r="C64"/>
      <x:c r="D64"/>
      <x:c r="E64"/>
      <x:c r="F64"/>
      <x:c r="G64"/>
      <x:c r="H64" s="4"/>
      <x:c r="I64" s="4"/>
      <x:c r="J64" s="4"/>
      <x:c r="K64" s="4"/>
      <x:c r="L64" s="4"/>
      <x:c r="M64" s="4"/>
    </x:row>
    <x:row r="65">
      <x:c r="A65" s="79"/>
      <x:c r="C65" s="516" t="str">
        <x:v>Breakeven offer-price mechanics</x:v>
      </x:c>
      <x:c r="D65" s="517"/>
      <x:c r="E65" s="517"/>
      <x:c r="F65" s="517"/>
      <x:c r="G65" s="518"/>
      <x:c r="H65" s="4"/>
      <x:c r="I65" s="4"/>
      <x:c r="J65" s="4"/>
      <x:c r="K65" s="4"/>
      <x:c r="L65" s="4"/>
      <x:c r="M65" s="4"/>
    </x:row>
    <x:row r="66">
      <x:c r="A66" s="79"/>
      <x:c r="C66"/>
      <x:c r="D66"/>
      <x:c r="E66"/>
      <x:c r="F66"/>
      <x:c r="G66"/>
      <x:c r="H66" s="4"/>
      <x:c r="I66" s="4"/>
      <x:c r="J66" s="4"/>
      <x:c r="K66" s="4"/>
      <x:c r="L66" s="4"/>
      <x:c r="M66" s="4"/>
    </x:row>
    <x:row r="67">
      <x:c r="A67" s="79"/>
      <x:c r="C67" s="522" t="str">
        <x:v>Metric</x:v>
      </x:c>
      <x:c r="D67" s="522" t="str">
        <x:v>FY:26E</x:v>
      </x:c>
      <x:c r="E67" s="522" t="str">
        <x:v>FY:27E</x:v>
      </x:c>
      <x:c r="F67" s="522" t="str">
        <x:v>FY:28E</x:v>
      </x:c>
      <x:c r="G67" s="522" t="str">
        <x:v>Source / status</x:v>
      </x:c>
      <x:c r="H67" s="4"/>
      <x:c r="I67" s="4"/>
      <x:c r="J67" s="4"/>
      <x:c r="K67" s="4"/>
      <x:c r="L67" s="4"/>
      <x:c r="M67" s="4"/>
    </x:row>
    <x:row r="68">
      <x:c r="A68" s="79"/>
      <x:c r="C68" t="str">
        <x:v>Current equity purchase price</x:v>
      </x:c>
      <x:c r="D68" s="536" t="n">
        <x:f>'Transaction Valuation'!$D$16</x:f>
        <x:v>8070.6527</x:v>
      </x:c>
      <x:c r="E68" s="536" t="n">
        <x:f>'Transaction Valuation'!$D$16</x:f>
        <x:v>8070.6527</x:v>
      </x:c>
      <x:c r="F68" s="536" t="n">
        <x:f>'Transaction Valuation'!$D$16</x:f>
        <x:v>8070.6527</x:v>
      </x:c>
      <x:c r="G68" s="132" t="str">
        <x:v>Transaction Valuation</x:v>
      </x:c>
      <x:c r="H68" s="4"/>
      <x:c r="I68" s="4"/>
      <x:c r="J68" s="4"/>
      <x:c r="K68" s="4"/>
      <x:c r="L68" s="4"/>
      <x:c r="M68" s="4"/>
    </x:row>
    <x:row r="69">
      <x:c r="A69" s="79"/>
      <x:c r="C69" t="str">
        <x:v>Incremental debt per $1 of equity price</x:v>
      </x:c>
      <x:c r="D69" s="544" t="n">
        <x:f>(1+'Transaction Assumptions'!$D$20)/(1-'Transaction Assumptions'!$D$21)</x:f>
        <x:v>1.0278481012658227</x:v>
      </x:c>
      <x:c r="E69" s="544" t="n">
        <x:f>(1+'Transaction Assumptions'!$D$20)/(1-'Transaction Assumptions'!$D$21)</x:f>
        <x:v>1.0278481012658227</x:v>
      </x:c>
      <x:c r="F69" s="544" t="n">
        <x:f>(1+'Transaction Assumptions'!$D$20)/(1-'Transaction Assumptions'!$D$21)</x:f>
        <x:v>1.0278481012658227</x:v>
      </x:c>
      <x:c r="G69" s="132" t="str">
        <x:v>Calculated</x:v>
      </x:c>
      <x:c r="H69" s="4"/>
      <x:c r="I69" s="4"/>
      <x:c r="J69" s="4"/>
      <x:c r="K69" s="4"/>
      <x:c r="L69" s="4"/>
      <x:c r="M69" s="4"/>
    </x:row>
    <x:row r="70">
      <x:c r="A70" s="79"/>
      <x:c r="C70" t="str">
        <x:v>Average debt retention factor</x:v>
      </x:c>
      <x:c r="D70" s="544" t="n">
        <x:f>'Financing'!E$14/'Sources &amp; Uses'!$D$19</x:f>
        <x:v>0.975</x:v>
      </x:c>
      <x:c r="E70" s="544" t="n">
        <x:f>'Financing'!F$14/'Sources &amp; Uses'!$D$19</x:f>
        <x:v>0.9248135938178611</x:v>
      </x:c>
      <x:c r="F70" s="544" t="n">
        <x:f>'Financing'!G$14/'Sources &amp; Uses'!$D$19</x:f>
        <x:v>0.8626875815635929</x:v>
      </x:c>
      <x:c r="G70" s="132" t="str">
        <x:v>Financing</x:v>
      </x:c>
      <x:c r="H70" s="4"/>
      <x:c r="I70" s="4"/>
      <x:c r="J70" s="4"/>
      <x:c r="K70" s="4"/>
      <x:c r="L70" s="4"/>
      <x:c r="M70" s="4"/>
    </x:row>
    <x:row r="71">
      <x:c r="A71" s="79"/>
      <x:c r="C71" s="4" t="str">
        <x:v>Weighted cash interest rate</x:v>
      </x:c>
      <x:c r="D71" s="544" t="n">
        <x:f>'Financing'!E$42</x:f>
        <x:v>0.057564102564102555</x:v>
      </x:c>
      <x:c r="E71" s="544" t="n">
        <x:f>'Financing'!F$42</x:f>
        <x:v>0.057702239657586044</x:v>
      </x:c>
      <x:c r="F71" s="544" t="n">
        <x:f>'Financing'!G$42</x:f>
        <x:v>0.05782655964908914</x:v>
      </x:c>
      <x:c r="G71" s="132" t="str">
        <x:v>Financing</x:v>
      </x:c>
      <x:c r="H71" s="4"/>
      <x:c r="I71" s="4"/>
      <x:c r="J71" s="4"/>
      <x:c r="K71" s="4"/>
      <x:c r="L71" s="4"/>
      <x:c r="M71" s="4"/>
    </x:row>
    <x:row r="72">
      <x:c r="A72" s="79"/>
      <x:c r="C72" s="4" t="str">
        <x:v>Financing-fee amortisation per $1 of equity price</x:v>
      </x:c>
      <x:c r="D72" s="544" t="n">
        <x:f>D69*'Transaction Assumptions'!$D$21/'Transaction Assumptions'!$D$54</x:f>
        <x:v>0.002569620253164557</x:v>
      </x:c>
      <x:c r="E72" s="544" t="n">
        <x:f>E69*'Transaction Assumptions'!$D$21/'Transaction Assumptions'!$D$54</x:f>
        <x:v>0.002569620253164557</x:v>
      </x:c>
      <x:c r="F72" s="544" t="n">
        <x:f>F69*'Transaction Assumptions'!$D$21/'Transaction Assumptions'!$D$54</x:f>
        <x:v>0.002569620253164557</x:v>
      </x:c>
      <x:c r="G72" s="132" t="str">
        <x:v>Calculated</x:v>
      </x:c>
      <x:c r="H72" s="4"/>
      <x:c r="I72" s="4"/>
      <x:c r="J72" s="4"/>
      <x:c r="K72" s="4"/>
      <x:c r="L72" s="4"/>
      <x:c r="M72" s="4"/>
    </x:row>
    <x:row r="73">
      <x:c r="A73" s="79"/>
      <x:c r="C73" s="4" t="str">
        <x:v>After-tax PPA expense per $1 of equity price</x:v>
      </x:c>
      <x:c r="D73" s="544" t="n">
        <x:f>'Purchase Accounting'!F$42/'Transaction Valuation'!$D$16</x:f>
        <x:v>0.023979999999999998</x:v>
      </x:c>
      <x:c r="E73" s="544" t="n">
        <x:f>'Purchase Accounting'!G$42/'Transaction Valuation'!$D$16</x:f>
        <x:v>0.02013</x:v>
      </x:c>
      <x:c r="F73" s="544" t="n">
        <x:f>'Purchase Accounting'!H$42/'Transaction Valuation'!$D$16</x:f>
        <x:v>0.02013</x:v>
      </x:c>
      <x:c r="G73" s="132" t="str">
        <x:v>Purchase Accounting</x:v>
      </x:c>
      <x:c r="H73" s="4"/>
      <x:c r="I73" s="4"/>
      <x:c r="J73" s="4"/>
      <x:c r="K73" s="4"/>
      <x:c r="L73" s="4"/>
      <x:c r="M73" s="4"/>
    </x:row>
    <x:row r="74">
      <x:c r="A74" s="79"/>
      <x:c r="C74" s="4" t="str">
        <x:v>Marginal after-tax annual cost per $1 of equity price</x:v>
      </x:c>
      <x:c r="D74" s="544" t="n">
        <x:f>((D69*D70*D71)+D72)*(1-'Transaction Assumptions'!$D$24)+D73</x:f>
        <x:v>0.07037834810126581</x:v>
      </x:c>
      <x:c r="E74" s="544" t="n">
        <x:f>((E69*E70*E71)+E72)*(1-'Transaction Assumptions'!$D$24)+E73</x:f>
        <x:v>0.06434302795433007</x:v>
      </x:c>
      <x:c r="F74" s="544" t="n">
        <x:f>((F69*F70*F71)+F72)*(1-'Transaction Assumptions'!$D$24)+F73</x:f>
        <x:v>0.06159073672127752</x:v>
      </x:c>
      <x:c r="G74" s="132" t="str">
        <x:v>Calculated</x:v>
      </x:c>
      <x:c r="H74" s="4"/>
      <x:c r="I74" s="4"/>
      <x:c r="J74" s="4"/>
      <x:c r="K74" s="4"/>
      <x:c r="L74" s="4"/>
      <x:c r="M74" s="4"/>
    </x:row>
    <x:row r="75">
      <x:c r="A75" s="79"/>
      <x:c r="C75" s="4" t="str">
        <x:v>Base transaction net-income contribution</x:v>
      </x:c>
      <x:c r="D75" s="536" t="n">
        <x:f>D$31</x:f>
        <x:v>-136.8736554987754</x:v>
      </x:c>
      <x:c r="E75" s="536" t="n">
        <x:f>E$31</x:f>
        <x:v>-51.35193144427558</x:v>
      </x:c>
      <x:c r="F75" s="536" t="n">
        <x:f>F$31</x:f>
        <x:v>133.54599013438383</x:v>
      </x:c>
      <x:c r="G75" s="132" t="str">
        <x:v>Accretion-Dilution</x:v>
      </x:c>
      <x:c r="H75" s="4"/>
      <x:c r="I75" s="4"/>
      <x:c r="J75" s="4"/>
      <x:c r="K75" s="4"/>
      <x:c r="L75" s="4"/>
      <x:c r="M75" s="4"/>
    </x:row>
    <x:row r="76">
      <x:c r="A76" s="79"/>
      <x:c r="C76" s="4" t="str">
        <x:v>Breakeven offer price per share</x:v>
      </x:c>
      <x:c r="D76" s="537" t="n">
        <x:f>MAX(0,(D68+D75/D74)/'Transaction Assumptions'!$D$16)</x:f>
        <x:v>52.34615341306623</x:v>
      </x:c>
      <x:c r="E76" s="537" t="n">
        <x:f>MAX(0,(E68+E75/E74)/'Transaction Assumptions'!$D$16)</x:f>
        <x:v>62.14514140865754</x:v>
      </x:c>
      <x:c r="F76" s="537" t="n">
        <x:f>MAX(0,(F68+F75/F74)/'Transaction Assumptions'!$D$16)</x:f>
        <x:v>87.49329833836234</x:v>
      </x:c>
      <x:c r="G76" s="132" t="str">
        <x:v>Calculated</x:v>
      </x:c>
      <x:c r="H76" s="4"/>
      <x:c r="I76" s="4"/>
      <x:c r="J76" s="4"/>
      <x:c r="K76" s="4"/>
      <x:c r="L76" s="4"/>
      <x:c r="M76" s="4"/>
    </x:row>
    <x:row r="77">
      <x:c r="A77" s="79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</x:row>
    <x:row r="78" ht="26" customHeight="1">
      <x:c r="A78" s="79"/>
      <x:c r="C78" s="545" t="str">
        <x:v>Gross debt</x:v>
      </x:c>
      <x:c r="D78" s="547" t="str">
        <x:v>UPS FY2025 debt plus closing acquisition debt; UPS legacy debt is held constant.</x:v>
      </x:c>
      <x:c r="E78" s="547"/>
      <x:c r="F78" s="547"/>
      <x:c r="G78" s="4"/>
      <x:c r="H78" s="4"/>
      <x:c r="I78" s="4"/>
      <x:c r="J78" s="4"/>
      <x:c r="K78" s="4"/>
      <x:c r="L78" s="4"/>
      <x:c r="M78" s="4"/>
    </x:row>
    <x:row r="79" ht="26" customHeight="1">
      <x:c r="A79" s="79"/>
      <x:c r="C79" s="545" t="str">
        <x:v>Net debt</x:v>
      </x:c>
      <x:c r="D79" s="547" t="str">
        <x:v>Gross debt less UPS FY2025 cash remaining after the $2.0bn transaction cash contribution.</x:v>
      </x:c>
      <x:c r="E79" s="547"/>
      <x:c r="F79" s="547"/>
      <x:c r="G79" s="4"/>
      <x:c r="H79" s="4"/>
      <x:c r="I79" s="4"/>
      <x:c r="J79" s="4"/>
      <x:c r="K79" s="4"/>
      <x:c r="L79" s="4"/>
      <x:c r="M79" s="4"/>
    </x:row>
    <x:row r="80" ht="26" customHeight="1">
      <x:c r="A80" s="79"/>
      <x:c r="C80" s="545" t="str">
        <x:v>Leverage / coverage</x:v>
      </x:c>
      <x:c r="D80" s="547" t="str">
        <x:v>Uses combined adjusted EBITDA plus phased synergies; interest coverage includes FY2025 UPS interest and acquisition cash interest.</x:v>
      </x:c>
      <x:c r="E80" s="547"/>
      <x:c r="F80" s="547"/>
      <x:c r="G80" s="4"/>
      <x:c r="H80" s="4"/>
      <x:c r="I80" s="4"/>
      <x:c r="J80" s="4"/>
      <x:c r="K80" s="4"/>
      <x:c r="L80" s="4"/>
      <x:c r="M80" s="4"/>
    </x:row>
    <x:row r="81" ht="26" customHeight="1">
      <x:c r="A81" s="79"/>
      <x:c r="C81" s="545" t="str">
        <x:v>Incremental ROIC</x:v>
      </x:c>
      <x:c r="D81" s="547" t="str">
        <x:v>Target adjusted EBIT after tax plus after-tax cost synergies, divided by transaction enterprise value.</x:v>
      </x:c>
      <x:c r="E81" s="547"/>
      <x:c r="F81" s="547"/>
      <x:c r="G81" s="4"/>
      <x:c r="H81" s="4"/>
      <x:c r="I81" s="4"/>
      <x:c r="J81" s="4"/>
      <x:c r="K81" s="4"/>
      <x:c r="L81" s="4"/>
      <x:c r="M81" s="4"/>
    </x:row>
    <x:row r="82" ht="26" customHeight="1">
      <x:c r="A82" s="79"/>
      <x:c r="C82" s="545" t="str">
        <x:v>Breakeven offer price</x:v>
      </x:c>
      <x:c r="D82" s="547" t="str">
        <x:v>Linearized from marginal financing, fee-amortisation and purchase-accounting costs; operating assumptions and debt-retention factors are held constant.</x:v>
      </x:c>
      <x:c r="E82" s="547"/>
      <x:c r="F82" s="547"/>
      <x:c r="G82" s="4"/>
      <x:c r="H82" s="4"/>
      <x:c r="I82" s="4"/>
      <x:c r="J82" s="4"/>
      <x:c r="K82" s="4"/>
      <x:c r="L82" s="4"/>
      <x:c r="M82" s="4"/>
    </x:row>
    <x:row r="83">
      <x:c r="A83" s="79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>
      <x:c r="A84" s="79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</x:row>
    <x:row r="85">
      <x:c r="A85" s="79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</x:row>
    <x:row r="86">
      <x:c r="A86" s="79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</x:row>
    <x:row r="87">
      <x:c r="A87" s="79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</x:row>
    <x:row r="88">
      <x:c r="A88" s="79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</x:row>
    <x:row r="89">
      <x:c r="A89" s="79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</x:row>
    <x:row r="90">
      <x:c r="A90" s="79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</x:row>
    <x:row r="91">
      <x:c r="A91" s="79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>
      <x:c r="A92" s="79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>
      <x:c r="A93" s="79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79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>
      <x:c r="A95" s="79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>
      <x:c r="A96" s="79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79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79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79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79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</x:sheetData>
  <x:mergeCells>
    <x:mergeCell ref="D78:F78"/>
    <x:mergeCell ref="D79:F79"/>
    <x:mergeCell ref="D80:F80"/>
    <x:mergeCell ref="D81:F81"/>
    <x:mergeCell ref="D82:F8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79"/>
    </x:row>
    <x:row r="2" ht="21" customHeight="1">
      <x:c r="A2" s="79"/>
      <x:c r="C2" s="2" t="str">
        <x:v>Transaction sensitivities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FY2026 and FY2027 EPS accretion / (dilution) under alternative transaction assumptions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550" t="str">
        <x:v>Offer premium and synergies - FY2026</x:v>
      </x:c>
      <x:c r="D6" s="551"/>
      <x:c r="E6" s="551"/>
      <x:c r="F6" s="551"/>
      <x:c r="G6" s="551"/>
      <x:c r="H6" s="552"/>
      <x:c r="I6"/>
      <x:c r="J6" s="550" t="str">
        <x:v>Offer premium and synergies - FY2027</x:v>
      </x:c>
      <x:c r="K6" s="551"/>
      <x:c r="L6" s="551"/>
      <x:c r="M6" s="551"/>
      <x:c r="N6" s="551"/>
      <x:c r="O6" s="552"/>
    </x:row>
    <x:row r="7">
      <x:c r="A7" s="79"/>
      <x:c r="C7"/>
      <x:c r="D7"/>
      <x:c r="E7"/>
      <x:c r="F7"/>
      <x:c r="G7"/>
      <x:c r="H7"/>
      <x:c r="I7"/>
      <x:c r="J7"/>
      <x:c r="K7"/>
      <x:c r="L7"/>
      <x:c r="M7"/>
    </x:row>
    <x:row r="8">
      <x:c r="A8" s="79"/>
      <x:c r="C8" s="557" t="str">
        <x:v>Pre-tax synergies / premium</x:v>
      </x:c>
      <x:c r="D8" s="563" t="n">
        <x:v>0.2</x:v>
      </x:c>
      <x:c r="E8" s="563" t="n">
        <x:v>0.25</x:v>
      </x:c>
      <x:c r="F8" s="563" t="n">
        <x:v>0.3</x:v>
      </x:c>
      <x:c r="G8" s="563" t="n">
        <x:v>0.35</x:v>
      </x:c>
      <x:c r="H8" s="563" t="n">
        <x:v>0.4</x:v>
      </x:c>
      <x:c r="I8"/>
      <x:c r="J8" s="557" t="str">
        <x:v>Pre-tax synergies / premium</x:v>
      </x:c>
      <x:c r="K8" s="563" t="n">
        <x:v>0.2</x:v>
      </x:c>
      <x:c r="L8" s="563" t="n">
        <x:v>0.25</x:v>
      </x:c>
      <x:c r="M8" s="563" t="n">
        <x:v>0.3</x:v>
      </x:c>
      <x:c r="N8" s="563" t="n">
        <x:v>0.35</x:v>
      </x:c>
      <x:c r="O8" s="563" t="n">
        <x:v>0.4</x:v>
      </x:c>
    </x:row>
    <x:row r="9">
      <x:c r="A9" s="79"/>
      <x:c r="C9"/>
      <x:c r="D9"/>
      <x:c r="E9"/>
      <x:c r="F9"/>
      <x:c r="G9"/>
      <x:c r="H9"/>
      <x:c r="I9"/>
      <x:c r="J9"/>
      <x:c r="K9"/>
      <x:c r="L9"/>
      <x:c r="M9"/>
    </x:row>
    <x:row r="10">
      <x:c r="A10" s="79"/>
      <x:c r="C10" t="n">
        <x:v>150</x:v>
      </x:c>
      <x:c r="D10" s="564" t="n">
        <x:f>((D$102+($C10*D$106*(1-D$115)-D$105)-D$114*((D$125*(1+D$8)*D$124)-D$112))/D$100)/D$101-1</x:f>
        <x:v>-0.018670727886074934</x:v>
      </x:c>
      <x:c r="E10" s="564" t="n">
        <x:f>((D$102+($C10*D$106*(1-D$115)-D$105)-D$114*((D$125*(1+E$8)*D$124)-D$112))/D$100)/D$101-1</x:f>
        <x:v>-0.022416556350074113</x:v>
      </x:c>
      <x:c r="F10" s="564" t="n">
        <x:f>((D$102+($C10*D$106*(1-D$115)-D$105)-D$114*((D$125*(1+F$8)*D$124)-D$112))/D$100)/D$101-1</x:f>
        <x:v>-0.026162384814073292</x:v>
      </x:c>
      <x:c r="G10" s="564" t="n">
        <x:f>((D$102+($C10*D$106*(1-D$115)-D$105)-D$114*((D$125*(1+G$8)*D$124)-D$112))/D$100)/D$101-1</x:f>
        <x:v>-0.02990821327807247</x:v>
      </x:c>
      <x:c r="H10" s="564" t="n">
        <x:f>((D$102+($C10*D$106*(1-D$115)-D$105)-D$114*((D$125*(1+H$8)*D$124)-D$112))/D$100)/D$101-1</x:f>
        <x:v>-0.03365404174207154</x:v>
      </x:c>
      <x:c r="I10"/>
      <x:c r="J10" t="n">
        <x:v>150</x:v>
      </x:c>
      <x:c r="K10" s="564" t="n">
        <x:f>((E$102+($J10*E$106*(1-E$115)-E$105)-E$114*((E$125*(1+K$8)*E$124)-E$112))/E$100)/E$101-1</x:f>
        <x:v>-0.012629146505290456</x:v>
      </x:c>
      <x:c r="L10" s="564" t="n">
        <x:f>((E$102+($J10*E$106*(1-E$115)-E$105)-E$114*((E$125*(1+L$8)*E$124)-E$112))/E$100)/E$101-1</x:f>
        <x:v>-0.01587048957339532</x:v>
      </x:c>
      <x:c r="M10" s="564" t="n">
        <x:f>((E$102+($J10*E$106*(1-E$115)-E$105)-E$114*((E$125*(1+M$8)*E$124)-E$112))/E$100)/E$101-1</x:f>
        <x:v>-0.019111832641500293</x:v>
      </x:c>
      <x:c r="N10" s="564" t="n">
        <x:f>((E$102+($J10*E$106*(1-E$115)-E$105)-E$114*((E$125*(1+N$8)*E$124)-E$112))/E$100)/E$101-1</x:f>
        <x:v>-0.022353175709605377</x:v>
      </x:c>
      <x:c r="O10" s="564" t="n">
        <x:f>((E$102+($J10*E$106*(1-E$115)-E$105)-E$114*((E$125*(1+O$8)*E$124)-E$112))/E$100)/E$101-1</x:f>
        <x:v>-0.02559451877771024</x:v>
      </x:c>
    </x:row>
    <x:row r="11">
      <x:c r="A11" s="79"/>
      <x:c r="C11" t="n">
        <x:v>200</x:v>
      </x:c>
      <x:c r="D11" s="564" t="n">
        <x:f>((D$102+($C11*D$106*(1-D$115)-D$105)-D$114*((D$125*(1+D$8)*D$124)-D$112))/D$100)/D$101-1</x:f>
        <x:v>-0.017499662503104307</x:v>
      </x:c>
      <x:c r="E11" s="564" t="n">
        <x:f>((D$102+($C11*D$106*(1-D$115)-D$105)-D$114*((D$125*(1+E$8)*D$124)-D$112))/D$100)/D$101-1</x:f>
        <x:v>-0.021245490967103486</x:v>
      </x:c>
      <x:c r="F11" s="564" t="n">
        <x:f>((D$102+($C11*D$106*(1-D$115)-D$105)-D$114*((D$125*(1+F$8)*D$124)-D$112))/D$100)/D$101-1</x:f>
        <x:v>-0.024991319431102665</x:v>
      </x:c>
      <x:c r="G11" s="564" t="n">
        <x:f>((D$102+($C11*D$106*(1-D$115)-D$105)-D$114*((D$125*(1+G$8)*D$124)-D$112))/D$100)/D$101-1</x:f>
        <x:v>-0.028737147895101733</x:v>
      </x:c>
      <x:c r="H11" s="564" t="n">
        <x:f>((D$102+($C11*D$106*(1-D$115)-D$105)-D$114*((D$125*(1+H$8)*D$124)-D$112))/D$100)/D$101-1</x:f>
        <x:v>-0.03248297635910091</x:v>
      </x:c>
      <x:c r="I11"/>
      <x:c r="J11" t="n">
        <x:v>200</x:v>
      </x:c>
      <x:c r="K11" s="564" t="n">
        <x:f>((E$102+($J11*E$106*(1-E$115)-E$105)-E$114*((E$125*(1+K$8)*E$124)-E$112))/E$100)/E$101-1</x:f>
        <x:v>-0.007943061235270221</x:v>
      </x:c>
      <x:c r="L11" s="564" t="n">
        <x:f>((E$102+($J11*E$106*(1-E$115)-E$105)-E$114*((E$125*(1+L$8)*E$124)-E$112))/E$100)/E$101-1</x:f>
        <x:v>-0.011184404303375195</x:v>
      </x:c>
      <x:c r="M11" s="564" t="n">
        <x:f>((E$102+($J11*E$106*(1-E$115)-E$105)-E$114*((E$125*(1+M$8)*E$124)-E$112))/E$100)/E$101-1</x:f>
        <x:v>-0.014425747371480169</x:v>
      </x:c>
      <x:c r="N11" s="564" t="n">
        <x:f>((E$102+($J11*E$106*(1-E$115)-E$105)-E$114*((E$125*(1+N$8)*E$124)-E$112))/E$100)/E$101-1</x:f>
        <x:v>-0.017667090439585142</x:v>
      </x:c>
      <x:c r="O11" s="564" t="n">
        <x:f>((E$102+($J11*E$106*(1-E$115)-E$105)-E$114*((E$125*(1+O$8)*E$124)-E$112))/E$100)/E$101-1</x:f>
        <x:v>-0.020908433507690005</x:v>
      </x:c>
    </x:row>
    <x:row r="12">
      <x:c r="A12" s="79"/>
      <x:c r="C12" t="n">
        <x:v>265</x:v>
      </x:c>
      <x:c r="D12" s="564" t="n">
        <x:f>((D$102+($C12*D$106*(1-D$115)-D$105)-D$114*((D$125*(1+D$8)*D$124)-D$112))/D$100)/D$101-1</x:f>
        <x:v>-0.015977277505242693</x:v>
      </x:c>
      <x:c r="E12" s="564" t="n">
        <x:f>((D$102+($C12*D$106*(1-D$115)-D$105)-D$114*((D$125*(1+E$8)*D$124)-D$112))/D$100)/D$101-1</x:f>
        <x:v>-0.01972310596924176</x:v>
      </x:c>
      <x:c r="F12" s="564" t="n">
        <x:f>((D$102+($C12*D$106*(1-D$115)-D$105)-D$114*((D$125*(1+F$8)*D$124)-D$112))/D$100)/D$101-1</x:f>
        <x:v>-0.02346893443324094</x:v>
      </x:c>
      <x:c r="G12" s="564" t="n">
        <x:f>((D$102+($C12*D$106*(1-D$115)-D$105)-D$114*((D$125*(1+G$8)*D$124)-D$112))/D$100)/D$101-1</x:f>
        <x:v>-0.02721476289724023</x:v>
      </x:c>
      <x:c r="H12" s="564" t="n">
        <x:f>((D$102+($C12*D$106*(1-D$115)-D$105)-D$114*((D$125*(1+H$8)*D$124)-D$112))/D$100)/D$101-1</x:f>
        <x:v>-0.030960591361239298</x:v>
      </x:c>
      <x:c r="I12"/>
      <x:c r="J12" t="n">
        <x:v>265</x:v>
      </x:c>
      <x:c r="K12" s="564" t="n">
        <x:f>((E$102+($J12*E$106*(1-E$115)-E$105)-E$114*((E$125*(1+K$8)*E$124)-E$112))/E$100)/E$101-1</x:f>
        <x:v>-0.0018511503842438826</x:v>
      </x:c>
      <x:c r="L12" s="564" t="n">
        <x:f>((E$102+($J12*E$106*(1-E$115)-E$105)-E$114*((E$125*(1+L$8)*E$124)-E$112))/E$100)/E$101-1</x:f>
        <x:v>-0.005092493452348856</x:v>
      </x:c>
      <x:c r="M12" s="564" t="n">
        <x:f>((E$102+($J12*E$106*(1-E$115)-E$105)-E$114*((E$125*(1+M$8)*E$124)-E$112))/E$100)/E$101-1</x:f>
        <x:v>-0.00833383652045383</x:v>
      </x:c>
      <x:c r="N12" s="564" t="n">
        <x:f>((E$102+($J12*E$106*(1-E$115)-E$105)-E$114*((E$125*(1+N$8)*E$124)-E$112))/E$100)/E$101-1</x:f>
        <x:v>-0.011575179588558915</x:v>
      </x:c>
      <x:c r="O12" s="564" t="n">
        <x:f>((E$102+($J12*E$106*(1-E$115)-E$105)-E$114*((E$125*(1+O$8)*E$124)-E$112))/E$100)/E$101-1</x:f>
        <x:v>-0.014816522656663778</x:v>
      </x:c>
    </x:row>
    <x:row r="13">
      <x:c r="A13" s="79"/>
      <x:c r="C13" t="n">
        <x:v>300</x:v>
      </x:c>
      <x:c r="D13" s="564" t="n">
        <x:f>((D$102+($C13*D$106*(1-D$115)-D$105)-D$114*((D$125*(1+D$8)*D$124)-D$112))/D$100)/D$101-1</x:f>
        <x:v>-0.015157531737163388</x:v>
      </x:c>
      <x:c r="E13" s="564" t="n">
        <x:f>((D$102+($C13*D$106*(1-D$115)-D$105)-D$114*((D$125*(1+E$8)*D$124)-D$112))/D$100)/D$101-1</x:f>
        <x:v>-0.018903360201162456</x:v>
      </x:c>
      <x:c r="F13" s="564" t="n">
        <x:f>((D$102+($C13*D$106*(1-D$115)-D$105)-D$114*((D$125*(1+F$8)*D$124)-D$112))/D$100)/D$101-1</x:f>
        <x:v>-0.022649188665161635</x:v>
      </x:c>
      <x:c r="G13" s="564" t="n">
        <x:f>((D$102+($C13*D$106*(1-D$115)-D$105)-D$114*((D$125*(1+G$8)*D$124)-D$112))/D$100)/D$101-1</x:f>
        <x:v>-0.026395017129160814</x:v>
      </x:c>
      <x:c r="H13" s="564" t="n">
        <x:f>((D$102+($C13*D$106*(1-D$115)-D$105)-D$114*((D$125*(1+H$8)*D$124)-D$112))/D$100)/D$101-1</x:f>
        <x:v>-0.030140845593159882</x:v>
      </x:c>
      <x:c r="I13"/>
      <x:c r="J13" t="n">
        <x:v>300</x:v>
      </x:c>
      <x:c r="K13" s="564" t="n">
        <x:f>((E$102+($J13*E$106*(1-E$115)-E$105)-E$114*((E$125*(1+K$8)*E$124)-E$112))/E$100)/E$101-1</x:f>
        <x:v>0.0014291093047702486</x:v>
      </x:c>
      <x:c r="L13" s="564" t="n">
        <x:f>((E$102+($J13*E$106*(1-E$115)-E$105)-E$114*((E$125*(1+L$8)*E$124)-E$112))/E$100)/E$101-1</x:f>
        <x:v>-0.0018122337633347252</x:v>
      </x:c>
      <x:c r="M13" s="564" t="n">
        <x:f>((E$102+($J13*E$106*(1-E$115)-E$105)-E$114*((E$125*(1+M$8)*E$124)-E$112))/E$100)/E$101-1</x:f>
        <x:v>-0.005053576831439699</x:v>
      </x:c>
      <x:c r="N13" s="564" t="n">
        <x:f>((E$102+($J13*E$106*(1-E$115)-E$105)-E$114*((E$125*(1+N$8)*E$124)-E$112))/E$100)/E$101-1</x:f>
        <x:v>-0.008294919899544895</x:v>
      </x:c>
      <x:c r="O13" s="564" t="n">
        <x:f>((E$102+($J13*E$106*(1-E$115)-E$105)-E$114*((E$125*(1+O$8)*E$124)-E$112))/E$100)/E$101-1</x:f>
        <x:v>-0.011536262967649757</x:v>
      </x:c>
    </x:row>
    <x:row r="14">
      <x:c r="A14" s="79"/>
      <x:c r="C14" t="n">
        <x:v>350</x:v>
      </x:c>
      <x:c r="D14" s="564" t="n">
        <x:f>((D$102+($C14*D$106*(1-D$115)-D$105)-D$114*((D$125*(1+D$8)*D$124)-D$112))/D$100)/D$101-1</x:f>
        <x:v>-0.013986466354192761</x:v>
      </x:c>
      <x:c r="E14" s="564" t="n">
        <x:f>((D$102+($C14*D$106*(1-D$115)-D$105)-D$114*((D$125*(1+E$8)*D$124)-D$112))/D$100)/D$101-1</x:f>
        <x:v>-0.01773229481819183</x:v>
      </x:c>
      <x:c r="F14" s="564" t="n">
        <x:f>((D$102+($C14*D$106*(1-D$115)-D$105)-D$114*((D$125*(1+F$8)*D$124)-D$112))/D$100)/D$101-1</x:f>
        <x:v>-0.02147812328219101</x:v>
      </x:c>
      <x:c r="G14" s="564" t="n">
        <x:f>((D$102+($C14*D$106*(1-D$115)-D$105)-D$114*((D$125*(1+G$8)*D$124)-D$112))/D$100)/D$101-1</x:f>
        <x:v>-0.025223951746190076</x:v>
      </x:c>
      <x:c r="H14" s="564" t="n">
        <x:f>((D$102+($C14*D$106*(1-D$115)-D$105)-D$114*((D$125*(1+H$8)*D$124)-D$112))/D$100)/D$101-1</x:f>
        <x:v>-0.028969780210189255</x:v>
      </x:c>
      <x:c r="I14"/>
      <x:c r="J14" t="n">
        <x:v>350</x:v>
      </x:c>
      <x:c r="K14" s="564" t="n">
        <x:f>((E$102+($J14*E$106*(1-E$115)-E$105)-E$114*((E$125*(1+K$8)*E$124)-E$112))/E$100)/E$101-1</x:f>
        <x:v>0.006115194574790372</x:v>
      </x:c>
      <x:c r="L14" s="564" t="n">
        <x:f>((E$102+($J14*E$106*(1-E$115)-E$105)-E$114*((E$125*(1+L$8)*E$124)-E$112))/E$100)/E$101-1</x:f>
        <x:v>0.0028738515066855097</x:v>
      </x:c>
      <x:c r="M14" s="564" t="n">
        <x:f>((E$102+($J14*E$106*(1-E$115)-E$105)-E$114*((E$125*(1+M$8)*E$124)-E$112))/E$100)/E$101-1</x:f>
        <x:v>-0.00036749156141957506</x:v>
      </x:c>
      <x:c r="N14" s="564" t="n">
        <x:f>((E$102+($J14*E$106*(1-E$115)-E$105)-E$114*((E$125*(1+N$8)*E$124)-E$112))/E$100)/E$101-1</x:f>
        <x:v>-0.003608834629524549</x:v>
      </x:c>
      <x:c r="O14" s="564" t="n">
        <x:f>((E$102+($J14*E$106*(1-E$115)-E$105)-E$114*((E$125*(1+O$8)*E$124)-E$112))/E$100)/E$101-1</x:f>
        <x:v>-0.0068501776976295226</x:v>
      </x:c>
    </x:row>
    <x:row r="15">
      <x:c r="A15" s="79"/>
      <x:c r="C15"/>
      <x:c r="D15"/>
      <x:c r="E15"/>
      <x:c r="F15"/>
      <x:c r="G15"/>
      <x:c r="H15"/>
      <x:c r="I15"/>
      <x:c r="J15"/>
      <x:c r="K15"/>
      <x:c r="L15"/>
      <x:c r="M15"/>
    </x:row>
    <x:row r="16">
      <x:c r="A16" s="79"/>
      <x:c r="C16"/>
      <x:c r="D16"/>
      <x:c r="E16"/>
      <x:c r="F16"/>
      <x:c r="G16"/>
      <x:c r="H16"/>
      <x:c r="I16"/>
      <x:c r="J16"/>
      <x:c r="K16"/>
      <x:c r="L16"/>
      <x:c r="M16"/>
    </x:row>
    <x:row r="17">
      <x:c r="A17" s="79"/>
      <x:c r="C17"/>
      <x:c r="D17"/>
      <x:c r="E17"/>
      <x:c r="F17"/>
      <x:c r="G17"/>
      <x:c r="H17"/>
      <x:c r="I17"/>
      <x:c r="J17"/>
      <x:c r="K17"/>
      <x:c r="L17"/>
      <x:c r="M17"/>
    </x:row>
    <x:row r="18">
      <x:c r="A18" s="79"/>
      <x:c r="C18" s="550" t="str">
        <x:v>Debt rate and synergies - FY2026</x:v>
      </x:c>
      <x:c r="D18" s="551"/>
      <x:c r="E18" s="551"/>
      <x:c r="F18" s="551"/>
      <x:c r="G18" s="551"/>
      <x:c r="H18" s="552"/>
      <x:c r="I18"/>
      <x:c r="J18" s="550" t="str">
        <x:v>Debt rate and synergies - FY2027</x:v>
      </x:c>
      <x:c r="K18" s="551"/>
      <x:c r="L18" s="551"/>
      <x:c r="M18" s="551"/>
      <x:c r="N18" s="551"/>
      <x:c r="O18" s="552"/>
    </x:row>
    <x:row r="19">
      <x:c r="A19" s="79"/>
      <x:c r="C19"/>
      <x:c r="D19"/>
      <x:c r="E19"/>
      <x:c r="F19"/>
      <x:c r="G19"/>
      <x:c r="H19"/>
      <x:c r="I19"/>
      <x:c r="J19"/>
      <x:c r="K19"/>
      <x:c r="L19"/>
      <x:c r="M19"/>
    </x:row>
    <x:row r="20">
      <x:c r="A20" s="79"/>
      <x:c r="C20" s="557" t="str">
        <x:v>Debt rate / pre-tax synergies</x:v>
      </x:c>
      <x:c r="D20" s="557" t="n">
        <x:v>150</x:v>
      </x:c>
      <x:c r="E20" s="557" t="n">
        <x:v>200</x:v>
      </x:c>
      <x:c r="F20" s="557" t="n">
        <x:v>265</x:v>
      </x:c>
      <x:c r="G20" s="557" t="n">
        <x:v>300</x:v>
      </x:c>
      <x:c r="H20" s="557" t="n">
        <x:v>350</x:v>
      </x:c>
      <x:c r="I20"/>
      <x:c r="J20" s="557" t="str">
        <x:v>Debt rate / pre-tax synergies</x:v>
      </x:c>
      <x:c r="K20" s="557" t="n">
        <x:v>150</x:v>
      </x:c>
      <x:c r="L20" s="557" t="n">
        <x:v>200</x:v>
      </x:c>
      <x:c r="M20" s="557" t="n">
        <x:v>265</x:v>
      </x:c>
      <x:c r="N20" s="557" t="n">
        <x:v>300</x:v>
      </x:c>
      <x:c r="O20" s="557" t="n">
        <x:v>350</x:v>
      </x:c>
    </x:row>
    <x:row r="21">
      <x:c r="A21" s="79"/>
      <x:c r="C21"/>
      <x:c r="D21"/>
      <x:c r="E21"/>
      <x:c r="F21"/>
      <x:c r="G21"/>
      <x:c r="H21"/>
      <x:c r="I21"/>
      <x:c r="J21"/>
      <x:c r="K21"/>
      <x:c r="L21"/>
      <x:c r="M21"/>
    </x:row>
    <x:row r="22">
      <x:c r="A22" s="79"/>
      <x:c r="C22" s="130" t="n">
        <x:v>0.045</x:v>
      </x:c>
      <x:c r="D22" s="564" t="n">
        <x:f>((D$102+(D$20*D$106*(1-D$115)-D$105)-($C22-D$127)*D$107*(1-D$115))/D$100)/D$101-1</x:f>
        <x:v>-0.012470562358293136</x:v>
      </x:c>
      <x:c r="E22" s="564" t="n">
        <x:f>((D$102+(E$20*D$106*(1-D$115)-D$105)-($C22-D$127)*D$107*(1-D$115))/D$100)/D$101-1</x:f>
        <x:v>-0.01129949697532251</x:v>
      </x:c>
      <x:c r="F22" s="564" t="n">
        <x:f>((D$102+(F$20*D$106*(1-D$115)-D$105)-($C22-D$127)*D$107*(1-D$115))/D$100)/D$101-1</x:f>
        <x:v>-0.009777111977460895</x:v>
      </x:c>
      <x:c r="G22" s="564" t="n">
        <x:f>((D$102+(G$20*D$106*(1-D$115)-D$105)-($C22-D$127)*D$107*(1-D$115))/D$100)/D$101-1</x:f>
        <x:v>-0.00895736620938159</x:v>
      </x:c>
      <x:c r="H22" s="564" t="n">
        <x:f>((D$102+(H$20*D$106*(1-D$115)-D$105)-($C22-D$127)*D$107*(1-D$115))/D$100)/D$101-1</x:f>
        <x:v>-0.0077863008264109634</x:v>
      </x:c>
      <x:c r="I22"/>
      <x:c r="J22" s="130" t="n">
        <x:v>0.045</x:v>
      </x:c>
      <x:c r="K22" s="564" t="n">
        <x:f>((E$102+(K$20*E$106*(1-E$115)-E$105)-($J22-E$127)*E$107*(1-E$115))/E$100)/E$101-1</x:f>
        <x:v>-0.006819748155397987</x:v>
      </x:c>
      <x:c r="L22" s="564" t="n">
        <x:f>((E$102+(L$20*E$106*(1-E$115)-E$105)-($J22-E$127)*E$107*(1-E$115))/E$100)/E$101-1</x:f>
        <x:v>-0.0021336628853778628</x:v>
      </x:c>
      <x:c r="M22" s="564" t="n">
        <x:f>((E$102+(M$20*E$106*(1-E$115)-E$105)-($J22-E$127)*E$107*(1-E$115))/E$100)/E$101-1</x:f>
        <x:v>0.003958247965648587</x:v>
      </x:c>
      <x:c r="N22" s="564" t="n">
        <x:f>((E$102+(N$20*E$106*(1-E$115)-E$105)-($J22-E$127)*E$107*(1-E$115))/E$100)/E$101-1</x:f>
        <x:v>0.007238507654662607</x:v>
      </x:c>
      <x:c r="O22" s="564" t="n">
        <x:f>((E$102+(O$20*E$106*(1-E$115)-E$105)-($J22-E$127)*E$107*(1-E$115))/E$100)/E$101-1</x:f>
        <x:v>0.011924592924682731</x:v>
      </x:c>
    </x:row>
    <x:row r="23">
      <x:c r="A23" s="79"/>
      <x:c r="C23" s="130" t="n">
        <x:v>0.05</x:v>
      </x:c>
      <x:c r="D23" s="564" t="n">
        <x:f>((D$102+(D$20*D$106*(1-D$115)-D$105)-($C23-D$127)*D$107*(1-D$115))/D$100)/D$101-1</x:f>
        <x:v>-0.01794729134060513</x:v>
      </x:c>
      <x:c r="E23" s="564" t="n">
        <x:f>((D$102+(E$20*D$106*(1-D$115)-D$105)-($C23-D$127)*D$107*(1-D$115))/D$100)/D$101-1</x:f>
        <x:v>-0.016776225957634505</x:v>
      </x:c>
      <x:c r="F23" s="564" t="n">
        <x:f>((D$102+(F$20*D$106*(1-D$115)-D$105)-($C23-D$127)*D$107*(1-D$115))/D$100)/D$101-1</x:f>
        <x:v>-0.01525384095977289</x:v>
      </x:c>
      <x:c r="G23" s="564" t="n">
        <x:f>((D$102+(G$20*D$106*(1-D$115)-D$105)-($C23-D$127)*D$107*(1-D$115))/D$100)/D$101-1</x:f>
        <x:v>-0.014434095191693475</x:v>
      </x:c>
      <x:c r="H23" s="564" t="n">
        <x:f>((D$102+(H$20*D$106*(1-D$115)-D$105)-($C23-D$127)*D$107*(1-D$115))/D$100)/D$101-1</x:f>
        <x:v>-0.01326302980872296</x:v>
      </x:c>
      <x:c r="I23"/>
      <x:c r="J23" s="130" t="n">
        <x:v>0.05</x:v>
      </x:c>
      <x:c r="K23" s="564" t="n">
        <x:f>((E$102+(K$20*E$106*(1-E$115)-E$105)-($J23-E$127)*E$107*(1-E$115))/E$100)/E$101-1</x:f>
        <x:v>-0.011736581949838953</x:v>
      </x:c>
      <x:c r="L23" s="564" t="n">
        <x:f>((E$102+(L$20*E$106*(1-E$115)-E$105)-($J23-E$127)*E$107*(1-E$115))/E$100)/E$101-1</x:f>
        <x:v>-0.0070504966798188295</x:v>
      </x:c>
      <x:c r="M23" s="564" t="n">
        <x:f>((E$102+(M$20*E$106*(1-E$115)-E$105)-($J23-E$127)*E$107*(1-E$115))/E$100)/E$101-1</x:f>
        <x:v>-0.0009585858287926019</x:v>
      </x:c>
      <x:c r="N23" s="564" t="n">
        <x:f>((E$102+(N$20*E$106*(1-E$115)-E$105)-($J23-E$127)*E$107*(1-E$115))/E$100)/E$101-1</x:f>
        <x:v>0.002321673860221418</x:v>
      </x:c>
      <x:c r="O23" s="564" t="n">
        <x:f>((E$102+(O$20*E$106*(1-E$115)-E$105)-($J23-E$127)*E$107*(1-E$115))/E$100)/E$101-1</x:f>
        <x:v>0.007007759130241764</x:v>
      </x:c>
    </x:row>
    <x:row r="24">
      <x:c r="A24" s="79"/>
      <x:c r="C24" s="130" t="n">
        <x:v>0.0575</x:v>
      </x:c>
      <x:c r="D24" s="564" t="n">
        <x:f>((D$102+(D$20*D$106*(1-D$115)-D$105)-($C24-D$127)*D$107*(1-D$115))/D$100)/D$101-1</x:f>
        <x:v>-0.026162384814073292</x:v>
      </x:c>
      <x:c r="E24" s="564" t="n">
        <x:f>((D$102+(E$20*D$106*(1-D$115)-D$105)-($C24-D$127)*D$107*(1-D$115))/D$100)/D$101-1</x:f>
        <x:v>-0.024991319431102665</x:v>
      </x:c>
      <x:c r="F24" s="564" t="n">
        <x:f>((D$102+(F$20*D$106*(1-D$115)-D$105)-($C24-D$127)*D$107*(1-D$115))/D$100)/D$101-1</x:f>
        <x:v>-0.02346893443324094</x:v>
      </x:c>
      <x:c r="G24" s="564" t="n">
        <x:f>((D$102+(G$20*D$106*(1-D$115)-D$105)-($C24-D$127)*D$107*(1-D$115))/D$100)/D$101-1</x:f>
        <x:v>-0.022649188665161635</x:v>
      </x:c>
      <x:c r="H24" s="564" t="n">
        <x:f>((D$102+(H$20*D$106*(1-D$115)-D$105)-($C24-D$127)*D$107*(1-D$115))/D$100)/D$101-1</x:f>
        <x:v>-0.02147812328219101</x:v>
      </x:c>
      <x:c r="I24"/>
      <x:c r="J24" s="130" t="n">
        <x:v>0.0575</x:v>
      </x:c>
      <x:c r="K24" s="564" t="n">
        <x:f>((E$102+(K$20*E$106*(1-E$115)-E$105)-($J24-E$127)*E$107*(1-E$115))/E$100)/E$101-1</x:f>
        <x:v>-0.019111832641500293</x:v>
      </x:c>
      <x:c r="L24" s="564" t="n">
        <x:f>((E$102+(L$20*E$106*(1-E$115)-E$105)-($J24-E$127)*E$107*(1-E$115))/E$100)/E$101-1</x:f>
        <x:v>-0.014425747371480169</x:v>
      </x:c>
      <x:c r="M24" s="564" t="n">
        <x:f>((E$102+(M$20*E$106*(1-E$115)-E$105)-($J24-E$127)*E$107*(1-E$115))/E$100)/E$101-1</x:f>
        <x:v>-0.00833383652045383</x:v>
      </x:c>
      <x:c r="N24" s="564" t="n">
        <x:f>((E$102+(N$20*E$106*(1-E$115)-E$105)-($J24-E$127)*E$107*(1-E$115))/E$100)/E$101-1</x:f>
        <x:v>-0.005053576831439699</x:v>
      </x:c>
      <x:c r="O24" s="564" t="n">
        <x:f>((E$102+(O$20*E$106*(1-E$115)-E$105)-($J24-E$127)*E$107*(1-E$115))/E$100)/E$101-1</x:f>
        <x:v>-0.00036749156141957506</x:v>
      </x:c>
    </x:row>
    <x:row r="25">
      <x:c r="A25" s="79"/>
      <x:c r="C25" s="130" t="n">
        <x:v>0.065</x:v>
      </x:c>
      <x:c r="D25" s="564" t="n">
        <x:f>((D$102+(D$20*D$106*(1-D$115)-D$105)-($C25-D$127)*D$107*(1-D$115))/D$100)/D$101-1</x:f>
        <x:v>-0.03437747828754134</x:v>
      </x:c>
      <x:c r="E25" s="564" t="n">
        <x:f>((D$102+(E$20*D$106*(1-D$115)-D$105)-($C25-D$127)*D$107*(1-D$115))/D$100)/D$101-1</x:f>
        <x:v>-0.033206412904570715</x:v>
      </x:c>
      <x:c r="F25" s="564" t="n">
        <x:f>((D$102+(F$20*D$106*(1-D$115)-D$105)-($C25-D$127)*D$107*(1-D$115))/D$100)/D$101-1</x:f>
        <x:v>-0.0316840279067091</x:v>
      </x:c>
      <x:c r="G25" s="564" t="n">
        <x:f>((D$102+(G$20*D$106*(1-D$115)-D$105)-($C25-D$127)*D$107*(1-D$115))/D$100)/D$101-1</x:f>
        <x:v>-0.030864282138629795</x:v>
      </x:c>
      <x:c r="H25" s="564" t="n">
        <x:f>((D$102+(H$20*D$106*(1-D$115)-D$105)-($C25-D$127)*D$107*(1-D$115))/D$100)/D$101-1</x:f>
        <x:v>-0.02969321675565917</x:v>
      </x:c>
      <x:c r="I25"/>
      <x:c r="J25" s="130" t="n">
        <x:v>0.065</x:v>
      </x:c>
      <x:c r="K25" s="564" t="n">
        <x:f>((E$102+(K$20*E$106*(1-E$115)-E$105)-($J25-E$127)*E$107*(1-E$115))/E$100)/E$101-1</x:f>
        <x:v>-0.026487083333161632</x:v>
      </x:c>
      <x:c r="L25" s="564" t="n">
        <x:f>((E$102+(L$20*E$106*(1-E$115)-E$105)-($J25-E$127)*E$107*(1-E$115))/E$100)/E$101-1</x:f>
        <x:v>-0.021800998063141508</x:v>
      </x:c>
      <x:c r="M25" s="564" t="n">
        <x:f>((E$102+(M$20*E$106*(1-E$115)-E$105)-($J25-E$127)*E$107*(1-E$115))/E$100)/E$101-1</x:f>
        <x:v>-0.01570908721211517</x:v>
      </x:c>
      <x:c r="N25" s="564" t="n">
        <x:f>((E$102+(N$20*E$106*(1-E$115)-E$105)-($J25-E$127)*E$107*(1-E$115))/E$100)/E$101-1</x:f>
        <x:v>-0.012428827523101038</x:v>
      </x:c>
      <x:c r="O25" s="564" t="n">
        <x:f>((E$102+(O$20*E$106*(1-E$115)-E$105)-($J25-E$127)*E$107*(1-E$115))/E$100)/E$101-1</x:f>
        <x:v>-0.007742742253080914</x:v>
      </x:c>
    </x:row>
    <x:row r="26">
      <x:c r="A26" s="79"/>
      <x:c r="C26" s="130" t="n">
        <x:v>0.07</x:v>
      </x:c>
      <x:c r="D26" s="564" t="n">
        <x:f>((D$102+(D$20*D$106*(1-D$115)-D$105)-($C26-D$127)*D$107*(1-D$115))/D$100)/D$101-1</x:f>
        <x:v>-0.03985420726985334</x:v>
      </x:c>
      <x:c r="E26" s="564" t="n">
        <x:f>((D$102+(E$20*D$106*(1-D$115)-D$105)-($C26-D$127)*D$107*(1-D$115))/D$100)/D$101-1</x:f>
        <x:v>-0.03868314188688271</x:v>
      </x:c>
      <x:c r="F26" s="564" t="n">
        <x:f>((D$102+(F$20*D$106*(1-D$115)-D$105)-($C26-D$127)*D$107*(1-D$115))/D$100)/D$101-1</x:f>
        <x:v>-0.037160756889021096</x:v>
      </x:c>
      <x:c r="G26" s="564" t="n">
        <x:f>((D$102+(G$20*D$106*(1-D$115)-D$105)-($C26-D$127)*D$107*(1-D$115))/D$100)/D$101-1</x:f>
        <x:v>-0.03634101112094179</x:v>
      </x:c>
      <x:c r="H26" s="564" t="n">
        <x:f>((D$102+(H$20*D$106*(1-D$115)-D$105)-($C26-D$127)*D$107*(1-D$115))/D$100)/D$101-1</x:f>
        <x:v>-0.035169945737971164</x:v>
      </x:c>
      <x:c r="I26"/>
      <x:c r="J26" s="130" t="n">
        <x:v>0.07</x:v>
      </x:c>
      <x:c r="K26" s="564" t="n">
        <x:f>((E$102+(K$20*E$106*(1-E$115)-E$105)-($J26-E$127)*E$107*(1-E$115))/E$100)/E$101-1</x:f>
        <x:v>-0.03140391712760271</x:v>
      </x:c>
      <x:c r="L26" s="564" t="n">
        <x:f>((E$102+(L$20*E$106*(1-E$115)-E$105)-($J26-E$127)*E$107*(1-E$115))/E$100)/E$101-1</x:f>
        <x:v>-0.026717831857582475</x:v>
      </x:c>
      <x:c r="M26" s="564" t="n">
        <x:f>((E$102+(M$20*E$106*(1-E$115)-E$105)-($J26-E$127)*E$107*(1-E$115))/E$100)/E$101-1</x:f>
        <x:v>-0.020625921006556247</x:v>
      </x:c>
      <x:c r="N26" s="564" t="n">
        <x:f>((E$102+(N$20*E$106*(1-E$115)-E$105)-($J26-E$127)*E$107*(1-E$115))/E$100)/E$101-1</x:f>
        <x:v>-0.017345661317542116</x:v>
      </x:c>
      <x:c r="O26" s="564" t="n">
        <x:f>((E$102+(O$20*E$106*(1-E$115)-E$105)-($J26-E$127)*E$107*(1-E$115))/E$100)/E$101-1</x:f>
        <x:v>-0.012659576047521992</x:v>
      </x:c>
    </x:row>
    <x:row r="27">
      <x:c r="A27" s="79"/>
      <x:c r="C27"/>
      <x:c r="D27"/>
      <x:c r="E27"/>
      <x:c r="F27"/>
      <x:c r="G27"/>
      <x:c r="H27"/>
      <x:c r="I27"/>
      <x:c r="J27"/>
      <x:c r="K27"/>
      <x:c r="L27"/>
      <x:c r="M27"/>
    </x:row>
    <x:row r="28">
      <x:c r="A28" s="79"/>
      <x:c r="C28"/>
      <x:c r="D28"/>
      <x:c r="E28"/>
      <x:c r="F28"/>
      <x:c r="G28"/>
      <x:c r="H28"/>
      <x:c r="I28"/>
      <x:c r="J28"/>
      <x:c r="K28"/>
      <x:c r="L28"/>
      <x:c r="M28"/>
    </x:row>
    <x:row r="29">
      <x:c r="A29" s="79"/>
      <x:c r="C29"/>
      <x:c r="D29"/>
      <x:c r="E29"/>
      <x:c r="F29"/>
      <x:c r="G29"/>
      <x:c r="H29"/>
      <x:c r="I29"/>
      <x:c r="J29"/>
      <x:c r="K29"/>
      <x:c r="L29"/>
      <x:c r="M29"/>
    </x:row>
    <x:row r="30">
      <x:c r="A30" s="79"/>
      <x:c r="C30" s="550" t="str">
        <x:v>Funding mix - FY2026</x:v>
      </x:c>
      <x:c r="D30" s="551"/>
      <x:c r="E30" s="551"/>
      <x:c r="F30" s="551"/>
      <x:c r="G30" s="551"/>
      <x:c r="H30" s="552"/>
      <x:c r="I30"/>
      <x:c r="J30" s="550" t="str">
        <x:v>Funding mix - FY2027</x:v>
      </x:c>
      <x:c r="K30" s="551"/>
      <x:c r="L30" s="551"/>
      <x:c r="M30" s="551"/>
      <x:c r="N30" s="551"/>
      <x:c r="O30" s="552"/>
    </x:row>
    <x:row r="31">
      <x:c r="A31" s="79"/>
      <x:c r="C31"/>
      <x:c r="D31"/>
      <x:c r="E31"/>
      <x:c r="F31"/>
      <x:c r="G31"/>
      <x:c r="H31"/>
      <x:c r="I31"/>
      <x:c r="J31"/>
      <x:c r="K31"/>
      <x:c r="L31"/>
      <x:c r="M31"/>
    </x:row>
    <x:row r="32">
      <x:c r="A32" s="79"/>
      <x:c r="C32" s="557" t="str">
        <x:v>Cash share / stock share</x:v>
      </x:c>
      <x:c r="D32" s="563" t="n">
        <x:v>0</x:v>
      </x:c>
      <x:c r="E32" s="563" t="n">
        <x:v>0.25</x:v>
      </x:c>
      <x:c r="F32" s="563" t="n">
        <x:v>0.5</x:v>
      </x:c>
      <x:c r="G32" s="563" t="n">
        <x:v>0.75</x:v>
      </x:c>
      <x:c r="H32" s="563" t="n">
        <x:v>1</x:v>
      </x:c>
      <x:c r="I32"/>
      <x:c r="J32" s="557" t="str">
        <x:v>Cash share / stock share</x:v>
      </x:c>
      <x:c r="K32" s="563" t="n">
        <x:v>0</x:v>
      </x:c>
      <x:c r="L32" s="563" t="n">
        <x:v>0.25</x:v>
      </x:c>
      <x:c r="M32" s="563" t="n">
        <x:v>0.5</x:v>
      </x:c>
      <x:c r="N32" s="563" t="n">
        <x:v>0.75</x:v>
      </x:c>
      <x:c r="O32" s="563" t="n">
        <x:v>1</x:v>
      </x:c>
    </x:row>
    <x:row r="33">
      <x:c r="A33" s="79"/>
      <x:c r="C33"/>
      <x:c r="D33"/>
      <x:c r="E33"/>
      <x:c r="F33"/>
      <x:c r="G33"/>
      <x:c r="H33"/>
      <x:c r="I33"/>
      <x:c r="J33"/>
      <x:c r="K33"/>
      <x:c r="L33"/>
      <x:c r="M33"/>
    </x:row>
    <x:row r="34">
      <x:c r="A34" s="79"/>
      <x:c r="C34" s="130" t="n">
        <x:v>0</x:v>
      </x:c>
      <x:c r="D34" s="564" t="n">
        <x:f>IF($C34+D$32&gt;1,"",(((D$102+D$110-((((D$112+D$120+D$112*D$116-D$119-D$112*$C34-D$112*D$32)/(1-D$117))*D$108*D$109+((D$112+D$120+D$112*D$116-D$119-D$112*$C34-D$112*D$32)/(1-D$117))*D$117/D$118)*(1-D$115))-(D$112*$C34-D$121)*D$122*(1-D$115))/(D$100+D$112*D$32/D$123))/D$101-1))</x:f>
        <x:v>-0.028582909023885605</x:v>
      </x:c>
      <x:c r="E34" s="564" t="n">
        <x:f>IF($C34+E$32&gt;1,"",(((D$102+D$110-((((D$112+D$120+D$112*D$116-D$119-D$112*$C34-D$112*E$32)/(1-D$117))*D$108*D$109+((D$112+D$120+D$112*D$116-D$119-D$112*$C34-D$112*E$32)/(1-D$117))*D$117/D$118)*(1-D$115))-(D$112*$C34-D$121)*D$122*(1-D$115))/(D$100+D$112*E$32/D$123))/D$101-1))</x:f>
        <x:v>-0.03589726472099897</x:v>
      </x:c>
      <x:c r="F34" s="564" t="n">
        <x:f>IF($C34+F$32&gt;1,"",(((D$102+D$110-((((D$112+D$120+D$112*D$116-D$119-D$112*$C34-D$112*F$32)/(1-D$117))*D$108*D$109+((D$112+D$120+D$112*D$116-D$119-D$112*$C34-D$112*F$32)/(1-D$117))*D$117/D$118)*(1-D$115))-(D$112*$C34-D$121)*D$122*(1-D$115))/(D$100+D$112*F$32/D$123))/D$101-1))</x:f>
        <x:v>-0.04287674292512922</x:v>
      </x:c>
      <x:c r="G34" s="564" t="n">
        <x:f>IF($C34+G$32&gt;1,"",(((D$102+D$110-((((D$112+D$120+D$112*D$116-D$119-D$112*$C34-D$112*G$32)/(1-D$117))*D$108*D$109+((D$112+D$120+D$112*D$116-D$119-D$112*$C34-D$112*G$32)/(1-D$117))*D$117/D$118)*(1-D$115))-(D$112*$C34-D$121)*D$122*(1-D$115))/(D$100+D$112*G$32/D$123))/D$101-1))</x:f>
        <x:v>-0.04954382679913649</x:v>
      </x:c>
      <x:c r="H34" s="564" t="n">
        <x:f>IF($C34+H$32&gt;1,"",(((D$102+D$110-((((D$112+D$120+D$112*D$116-D$119-D$112*$C34-D$112*H$32)/(1-D$117))*D$108*D$109+((D$112+D$120+D$112*D$116-D$119-D$112*$C34-D$112*H$32)/(1-D$117))*D$117/D$118)*(1-D$115))-(D$112*$C34-D$121)*D$122*(1-D$115))/(D$100+D$112*H$32/D$123))/D$101-1))</x:f>
        <x:v>-0.05591903091503647</x:v>
      </x:c>
      <x:c r="I34"/>
      <x:c r="J34" s="130" t="n">
        <x:v>0</x:v>
      </x:c>
      <x:c r="K34" s="564" t="n">
        <x:f>IF($J34+K$32&gt;1,"",(((E$102+E$110-((((E$112+E$120+E$112*E$116-E$119-E$112*$J34-E$112*K$32)/(1-E$117))*E$108*E$109+((E$112+E$120+E$112*E$116-E$119-E$112*$J34-E$112*K$32)/(1-E$117))*E$117/E$118)*(1-E$115))-(E$112*$J34-E$121)*E$122*(1-E$115))/(E$100+E$112*K$32/E$123))/E$101-1))</x:f>
        <x:v>-0.012475324338484306</x:v>
      </x:c>
      <x:c r="L34" s="564" t="n">
        <x:f>IF($J34+L$32&gt;1,"",(((E$102+E$110-((((E$112+E$120+E$112*E$116-E$119-E$112*$J34-E$112*L$32)/(1-E$117))*E$108*E$109+((E$112+E$120+E$112*E$116-E$119-E$112*$J34-E$112*L$32)/(1-E$117))*E$117/E$118)*(1-E$115))-(E$112*$J34-E$121)*E$122*(1-E$115))/(E$100+E$112*L$32/E$123))/E$101-1))</x:f>
        <x:v>-0.02179715081370348</x:v>
      </x:c>
      <x:c r="M34" s="564" t="n">
        <x:f>IF($J34+M$32&gt;1,"",(((E$102+E$110-((((E$112+E$120+E$112*E$116-E$119-E$112*$J34-E$112*M$32)/(1-E$117))*E$108*E$109+((E$112+E$120+E$112*E$116-E$119-E$112*$J34-E$112*M$32)/(1-E$117))*E$117/E$118)*(1-E$115))-(E$112*$J34-E$121)*E$122*(1-E$115))/(E$100+E$112*M$32/E$123))/E$101-1))</x:f>
        <x:v>-0.030690144572423916</x:v>
      </x:c>
      <x:c r="N34" s="564" t="n">
        <x:f>IF($J34+N$32&gt;1,"",(((E$102+E$110-((((E$112+E$120+E$112*E$116-E$119-E$112*$J34-E$112*N$32)/(1-E$117))*E$108*E$109+((E$112+E$120+E$112*E$116-E$119-E$112*$J34-E$112*N$32)/(1-E$117))*E$117/E$118)*(1-E$115))-(E$112*$J34-E$121)*E$122*(1-E$115))/(E$100+E$112*N$32/E$123))/E$101-1))</x:f>
        <x:v>-0.03918323170775395</x:v>
      </x:c>
      <x:c r="O34" s="564" t="n">
        <x:f>IF($J34+O$32&gt;1,"",(((E$102+E$110-((((E$112+E$120+E$112*E$116-E$119-E$112*$J34-E$112*O$32)/(1-E$117))*E$108*E$109+((E$112+E$120+E$112*E$116-E$119-E$112*$J34-E$112*O$32)/(1-E$117))*E$117/E$118)*(1-E$115))-(E$112*$J34-E$121)*E$122*(1-E$115))/(E$100+E$112*O$32/E$123))/E$101-1))</x:f>
        <x:v>-0.047302793981216285</x:v>
      </x:c>
    </x:row>
    <x:row r="35">
      <x:c r="A35" s="79"/>
      <x:c r="C35" s="130" t="n">
        <x:v>0.1</x:v>
      </x:c>
      <x:c r="D35" s="564" t="n">
        <x:f>IF($C35+D$32&gt;1,"",(((D$102+D$110-((((D$112+D$120+D$112*D$116-D$119-D$112*$C35-D$112*D$32)/(1-D$117))*D$108*D$109+((D$112+D$120+D$112*D$116-D$119-D$112*$C35-D$112*D$32)/(1-D$117))*D$117/D$118)*(1-D$115))-(D$112*$C35-D$121)*D$122*(1-D$115))/(D$100+D$112*D$32/D$123))/D$101-1))</x:f>
        <x:v>-0.026519253381999786</x:v>
      </x:c>
      <x:c r="E35" s="564" t="n">
        <x:f>IF($C35+E$32&gt;1,"",(((D$102+D$110-((((D$112+D$120+D$112*D$116-D$119-D$112*$C35-D$112*E$32)/(1-D$117))*D$108*D$109+((D$112+D$120+D$112*D$116-D$119-D$112*$C35-D$112*E$32)/(1-D$117))*D$117/D$118)*(1-D$115))-(D$112*$C35-D$121)*D$122*(1-D$115))/(D$100+D$112*E$32/D$123))/D$101-1))</x:f>
        <x:v>-0.033881956627608956</x:v>
      </x:c>
      <x:c r="F35" s="564" t="n">
        <x:f>IF($C35+F$32&gt;1,"",(((D$102+D$110-((((D$112+D$120+D$112*D$116-D$119-D$112*$C35-D$112*F$32)/(1-D$117))*D$108*D$109+((D$112+D$120+D$112*D$116-D$119-D$112*$C35-D$112*F$32)/(1-D$117))*D$117/D$118)*(1-D$115))-(D$112*$C35-D$121)*D$122*(1-D$115))/(D$100+D$112*F$32/D$123))/D$101-1))</x:f>
        <x:v>-0.04090756885569524</x:v>
      </x:c>
      <x:c r="G35" s="564" t="n">
        <x:f>IF($C35+G$32&gt;1,"",(((D$102+D$110-((((D$112+D$120+D$112*D$116-D$119-D$112*$C35-D$112*G$32)/(1-D$117))*D$108*D$109+((D$112+D$120+D$112*D$116-D$119-D$112*$C35-D$112*G$32)/(1-D$117))*D$117/D$118)*(1-D$115))-(D$112*$C35-D$121)*D$122*(1-D$115))/(D$100+D$112*G$32/D$123))/D$101-1))</x:f>
        <x:v>-0.04761872184177107</x:v>
      </x:c>
      <x:c r="H35" s="564" t="str">
        <x:f>IF($C35+H$32&gt;1,"",(((D$102+D$110-((((D$112+D$120+D$112*D$116-D$119-D$112*$C35-D$112*H$32)/(1-D$117))*D$108*D$109+((D$112+D$120+D$112*D$116-D$119-D$112*$C35-D$112*H$32)/(1-D$117))*D$117/D$118)*(1-D$115))-(D$112*$C35-D$121)*D$122*(1-D$115))/(D$100+D$112*H$32/D$123))/D$101-1))</x:f>
      </x:c>
      <x:c r="I35"/>
      <x:c r="J35" s="130" t="n">
        <x:v>0.1</x:v>
      </x:c>
      <x:c r="K35" s="564" t="n">
        <x:f>IF($J35+K$32&gt;1,"",(((E$102+E$110-((((E$112+E$120+E$112*E$116-E$119-E$112*$J35-E$112*K$32)/(1-E$117))*E$108*E$109+((E$112+E$120+E$112*E$116-E$119-E$112*$J35-E$112*K$32)/(1-E$117))*E$117/E$118)*(1-E$115))-(E$112*$J35-E$121)*E$122*(1-E$115))/(E$100+E$112*K$32/E$123))/E$101-1))</x:f>
        <x:v>-0.010804098846454058</x:v>
      </x:c>
      <x:c r="L35" s="564" t="n">
        <x:f>IF($J35+L$32&gt;1,"",(((E$102+E$110-((((E$112+E$120+E$112*E$116-E$119-E$112*$J35-E$112*L$32)/(1-E$117))*E$108*E$109+((E$112+E$120+E$112*E$116-E$119-E$112*$J35-E$112*L$32)/(1-E$117))*E$117/E$118)*(1-E$115))-(E$112*$J35-E$121)*E$122*(1-E$115))/(E$100+E$112*L$32/E$123))/E$101-1))</x:f>
        <x:v>-0.02016527109387567</x:v>
      </x:c>
      <x:c r="M35" s="564" t="n">
        <x:f>IF($J35+M$32&gt;1,"",(((E$102+E$110-((((E$112+E$120+E$112*E$116-E$119-E$112*$J35-E$112*M$32)/(1-E$117))*E$108*E$109+((E$112+E$120+E$112*E$116-E$119-E$112*$J35-E$112*M$32)/(1-E$117))*E$117/E$118)*(1-E$115))-(E$112*$J35-E$121)*E$122*(1-E$115))/(E$100+E$112*M$32/E$123))/E$101-1))</x:f>
        <x:v>-0.029095800598145094</x:v>
      </x:c>
      <x:c r="N35" s="564" t="n">
        <x:f>IF($J35+N$32&gt;1,"",(((E$102+E$110-((((E$112+E$120+E$112*E$116-E$119-E$112*$J35-E$112*N$32)/(1-E$117))*E$108*E$109+((E$112+E$120+E$112*E$116-E$119-E$112*$J35-E$112*N$32)/(1-E$117))*E$117/E$118)*(1-E$115))-(E$112*$J35-E$121)*E$122*(1-E$115))/(E$100+E$112*N$32/E$123))/E$101-1))</x:f>
        <x:v>-0.03762473554426726</x:v>
      </x:c>
      <x:c r="O35" s="564" t="str">
        <x:f>IF($J35+O$32&gt;1,"",(((E$102+E$110-((((E$112+E$120+E$112*E$116-E$119-E$112*$J35-E$112*O$32)/(1-E$117))*E$108*E$109+((E$112+E$120+E$112*E$116-E$119-E$112*$J35-E$112*O$32)/(1-E$117))*E$117/E$118)*(1-E$115))-(E$112*$J35-E$121)*E$122*(1-E$115))/(E$100+E$112*O$32/E$123))/E$101-1))</x:f>
      </x:c>
    </x:row>
    <x:row r="36">
      <x:c r="A36" s="79"/>
      <x:c r="C36" s="130" t="n">
        <x:f>$D$121/$D$112</x:f>
        <x:v>0.24781143165781375</x:v>
      </x:c>
      <x:c r="D36" s="564" t="n">
        <x:f>IF($C36+D$32&gt;1,"",(((D$102+D$110-((((D$112+D$120+D$112*D$116-D$119-D$112*$C36-D$112*D$32)/(1-D$117))*D$108*D$109+((D$112+D$120+D$112*D$116-D$119-D$112*$C36-D$112*D$32)/(1-D$117))*D$117/D$118)*(1-D$115))-(D$112*$C36-D$121)*D$122*(1-D$115))/(D$100+D$112*D$32/D$123))/D$101-1))</x:f>
        <x:v>-0.02346893443324094</x:v>
      </x:c>
      <x:c r="E36" s="564" t="n">
        <x:f>IF($C36+E$32&gt;1,"",(((D$102+D$110-((((D$112+D$120+D$112*D$116-D$119-D$112*$C36-D$112*E$32)/(1-D$117))*D$108*D$109+((D$112+D$120+D$112*D$116-D$119-D$112*$C36-D$112*E$32)/(1-D$117))*D$117/D$118)*(1-D$115))-(D$112*$C36-D$121)*D$122*(1-D$115))/(D$100+D$112*E$32/D$123))/D$101-1))</x:f>
        <x:v>-0.030903100882453738</x:v>
      </x:c>
      <x:c r="F36" s="564" t="n">
        <x:f>IF($C36+F$32&gt;1,"",(((D$102+D$110-((((D$112+D$120+D$112*D$116-D$119-D$112*$C36-D$112*F$32)/(1-D$117))*D$108*D$109+((D$112+D$120+D$112*D$116-D$119-D$112*$C36-D$112*F$32)/(1-D$117))*D$117/D$118)*(1-D$115))-(D$112*$C36-D$121)*D$122*(1-D$115))/(D$100+D$112*F$32/D$123))/D$101-1))</x:f>
        <x:v>-0.03799690447183013</x:v>
      </x:c>
      <x:c r="G36" s="564" t="n">
        <x:f>IF($C36+G$32&gt;1,"",(((D$102+D$110-((((D$112+D$120+D$112*D$116-D$119-D$112*$C36-D$112*G$32)/(1-D$117))*D$108*D$109+((D$112+D$120+D$112*D$116-D$119-D$112*$C36-D$112*G$32)/(1-D$117))*D$117/D$118)*(1-D$115))-(D$112*$C36-D$121)*D$122*(1-D$115))/(D$100+D$112*G$32/D$123))/D$101-1))</x:f>
        <x:v>-0.044773196643373536</x:v>
      </x:c>
      <x:c r="H36" s="564" t="str">
        <x:f>IF($C36+H$32&gt;1,"",(((D$102+D$110-((((D$112+D$120+D$112*D$116-D$119-D$112*$C36-D$112*H$32)/(1-D$117))*D$108*D$109+((D$112+D$120+D$112*D$116-D$119-D$112*$C36-D$112*H$32)/(1-D$117))*D$117/D$118)*(1-D$115))-(D$112*$C36-D$121)*D$122*(1-D$115))/(D$100+D$112*H$32/D$123))/D$101-1))</x:f>
      </x:c>
      <x:c r="I36"/>
      <x:c r="J36" s="130" t="n">
        <x:f>$E$121/$E$112</x:f>
        <x:v>0.24781143165781375</x:v>
      </x:c>
      <x:c r="K36" s="564" t="n">
        <x:f>IF($J36+K$32&gt;1,"",(((E$102+E$110-((((E$112+E$120+E$112*E$116-E$119-E$112*$J36-E$112*K$32)/(1-E$117))*E$108*E$109+((E$112+E$120+E$112*E$116-E$119-E$112*$J36-E$112*K$32)/(1-E$117))*E$117/E$118)*(1-E$115))-(E$112*$J36-E$121)*E$122*(1-E$115))/(E$100+E$112*K$32/E$123))/E$101-1))</x:f>
        <x:v>-0.00833383652045383</x:v>
      </x:c>
      <x:c r="L36" s="564" t="n">
        <x:f>IF($J36+L$32&gt;1,"",(((E$102+E$110-((((E$112+E$120+E$112*E$116-E$119-E$112*$J36-E$112*L$32)/(1-E$117))*E$108*E$109+((E$112+E$120+E$112*E$116-E$119-E$112*$J36-E$112*L$32)/(1-E$117))*E$117/E$118)*(1-E$115))-(E$112*$J36-E$121)*E$122*(1-E$115))/(E$100+E$112*L$32/E$123))/E$101-1))</x:f>
        <x:v>-0.017753166317064473</x:v>
      </x:c>
      <x:c r="M36" s="564" t="n">
        <x:f>IF($J36+M$32&gt;1,"",(((E$102+E$110-((((E$112+E$120+E$112*E$116-E$119-E$112*$J36-E$112*M$32)/(1-E$117))*E$108*E$109+((E$112+E$120+E$112*E$116-E$119-E$112*$J36-E$112*M$32)/(1-E$117))*E$117/E$118)*(1-E$115))-(E$112*$J36-E$121)*E$122*(1-E$115))/(E$100+E$112*M$32/E$123))/E$101-1))</x:f>
        <x:v>-0.026739177944213433</x:v>
      </x:c>
      <x:c r="N36" s="564" t="n">
        <x:f>IF($J36+N$32&gt;1,"",(((E$102+E$110-((((E$112+E$120+E$112*E$116-E$119-E$112*$J36-E$112*N$32)/(1-E$117))*E$108*E$109+((E$112+E$120+E$112*E$116-E$119-E$112*$J36-E$112*N$32)/(1-E$117))*E$117/E$118)*(1-E$115))-(E$112*$J36-E$121)*E$122*(1-E$115))/(E$100+E$112*N$32/E$123))/E$101-1))</x:f>
        <x:v>-0.035321100052685295</x:v>
      </x:c>
      <x:c r="O36" s="564" t="str">
        <x:f>IF($J36+O$32&gt;1,"",(((E$102+E$110-((((E$112+E$120+E$112*E$116-E$119-E$112*$J36-E$112*O$32)/(1-E$117))*E$108*E$109+((E$112+E$120+E$112*E$116-E$119-E$112*$J36-E$112*O$32)/(1-E$117))*E$117/E$118)*(1-E$115))-(E$112*$J36-E$121)*E$122*(1-E$115))/(E$100+E$112*O$32/E$123))/E$101-1))</x:f>
      </x:c>
    </x:row>
    <x:row r="37">
      <x:c r="A37" s="79"/>
      <x:c r="C37" s="130" t="n">
        <x:v>0.35</x:v>
      </x:c>
      <x:c r="D37" s="564" t="n">
        <x:f>IF($C37+D$32&gt;1,"",(((D$102+D$110-((((D$112+D$120+D$112*D$116-D$119-D$112*$C37-D$112*D$32)/(1-D$117))*D$108*D$109+((D$112+D$120+D$112*D$116-D$119-D$112*$C37-D$112*D$32)/(1-D$117))*D$117/D$118)*(1-D$115))-(D$112*$C37-D$121)*D$122*(1-D$115))/(D$100+D$112*D$32/D$123))/D$101-1))</x:f>
        <x:v>-0.021360114277285014</x:v>
      </x:c>
      <x:c r="E37" s="564" t="n">
        <x:f>IF($C37+E$32&gt;1,"",(((D$102+D$110-((((D$112+D$120+D$112*D$116-D$119-D$112*$C37-D$112*E$32)/(1-D$117))*D$108*D$109+((D$112+D$120+D$112*D$116-D$119-D$112*$C37-D$112*E$32)/(1-D$117))*D$117/D$118)*(1-D$115))-(D$112*$C37-D$121)*D$122*(1-D$115))/(D$100+D$112*E$32/D$123))/D$101-1))</x:f>
        <x:v>-0.02884368639413437</x:v>
      </x:c>
      <x:c r="F37" s="564" t="n">
        <x:f>IF($C37+F$32&gt;1,"",(((D$102+D$110-((((D$112+D$120+D$112*D$116-D$119-D$112*$C37-D$112*F$32)/(1-D$117))*D$108*D$109+((D$112+D$120+D$112*D$116-D$119-D$112*$C37-D$112*F$32)/(1-D$117))*D$117/D$118)*(1-D$115))-(D$112*$C37-D$121)*D$122*(1-D$115))/(D$100+D$112*F$32/D$123))/D$101-1))</x:f>
        <x:v>-0.03598463368210991</x:v>
      </x:c>
      <x:c r="G37" s="564" t="str">
        <x:f>IF($C37+G$32&gt;1,"",(((D$102+D$110-((((D$112+D$120+D$112*D$116-D$119-D$112*$C37-D$112*G$32)/(1-D$117))*D$108*D$109+((D$112+D$120+D$112*D$116-D$119-D$112*$C37-D$112*G$32)/(1-D$117))*D$117/D$118)*(1-D$115))-(D$112*$C37-D$121)*D$122*(1-D$115))/(D$100+D$112*G$32/D$123))/D$101-1))</x:f>
      </x:c>
      <x:c r="H37" s="564" t="str">
        <x:f>IF($C37+H$32&gt;1,"",(((D$102+D$110-((((D$112+D$120+D$112*D$116-D$119-D$112*$C37-D$112*H$32)/(1-D$117))*D$108*D$109+((D$112+D$120+D$112*D$116-D$119-D$112*$C37-D$112*H$32)/(1-D$117))*D$117/D$118)*(1-D$115))-(D$112*$C37-D$121)*D$122*(1-D$115))/(D$100+D$112*H$32/D$123))/D$101-1))</x:f>
      </x:c>
      <x:c r="I37"/>
      <x:c r="J37" s="130" t="n">
        <x:v>0.35</x:v>
      </x:c>
      <x:c r="K37" s="564" t="n">
        <x:f>IF($J37+K$32&gt;1,"",(((E$102+E$110-((((E$112+E$120+E$112*E$116-E$119-E$112*$J37-E$112*K$32)/(1-E$117))*E$108*E$109+((E$112+E$120+E$112*E$116-E$119-E$112*$J37-E$112*K$32)/(1-E$117))*E$117/E$118)*(1-E$115))-(E$112*$J37-E$121)*E$122*(1-E$115))/(E$100+E$112*K$32/E$123))/E$101-1))</x:f>
        <x:v>-0.0066260351163787146</x:v>
      </x:c>
      <x:c r="L37" s="564" t="n">
        <x:f>IF($J37+L$32&gt;1,"",(((E$102+E$110-((((E$112+E$120+E$112*E$116-E$119-E$112*$J37-E$112*L$32)/(1-E$117))*E$108*E$109+((E$112+E$120+E$112*E$116-E$119-E$112*$J37-E$112*L$32)/(1-E$117))*E$117/E$118)*(1-E$115))-(E$112*$J37-E$121)*E$122*(1-E$115))/(E$100+E$112*L$32/E$123))/E$101-1))</x:f>
        <x:v>-0.01608557179430592</x:v>
      </x:c>
      <x:c r="M37" s="564" t="n">
        <x:f>IF($J37+M$32&gt;1,"",(((E$102+E$110-((((E$112+E$120+E$112*E$116-E$119-E$112*$J37-E$112*M$32)/(1-E$117))*E$108*E$109+((E$112+E$120+E$112*E$116-E$119-E$112*$J37-E$112*M$32)/(1-E$117))*E$117/E$118)*(1-E$115))-(E$112*$J37-E$121)*E$122*(1-E$115))/(E$100+E$112*M$32/E$123))/E$101-1))</x:f>
        <x:v>-0.025109940662447983</x:v>
      </x:c>
      <x:c r="N37" s="564" t="str">
        <x:f>IF($J37+N$32&gt;1,"",(((E$102+E$110-((((E$112+E$120+E$112*E$116-E$119-E$112*$J37-E$112*N$32)/(1-E$117))*E$108*E$109+((E$112+E$120+E$112*E$116-E$119-E$112*$J37-E$112*N$32)/(1-E$117))*E$117/E$118)*(1-E$115))-(E$112*$J37-E$121)*E$122*(1-E$115))/(E$100+E$112*N$32/E$123))/E$101-1))</x:f>
      </x:c>
      <x:c r="O37" s="564" t="str">
        <x:f>IF($J37+O$32&gt;1,"",(((E$102+E$110-((((E$112+E$120+E$112*E$116-E$119-E$112*$J37-E$112*O$32)/(1-E$117))*E$108*E$109+((E$112+E$120+E$112*E$116-E$119-E$112*$J37-E$112*O$32)/(1-E$117))*E$117/E$118)*(1-E$115))-(E$112*$J37-E$121)*E$122*(1-E$115))/(E$100+E$112*O$32/E$123))/E$101-1))</x:f>
      </x:c>
    </x:row>
    <x:row r="38">
      <x:c r="A38" s="79"/>
      <x:c r="C38" s="130" t="n">
        <x:v>0.5</x:v>
      </x:c>
      <x:c r="D38" s="564" t="n">
        <x:f>IF($C38+D$32&gt;1,"",(((D$102+D$110-((((D$112+D$120+D$112*D$116-D$119-D$112*$C38-D$112*D$32)/(1-D$117))*D$108*D$109+((D$112+D$120+D$112*D$116-D$119-D$112*$C38-D$112*D$32)/(1-D$117))*D$117/D$118)*(1-D$115))-(D$112*$C38-D$121)*D$122*(1-D$115))/(D$100+D$112*D$32/D$123))/D$101-1))</x:f>
        <x:v>-0.018264630814456173</x:v>
      </x:c>
      <x:c r="E38" s="564" t="n">
        <x:f>IF($C38+E$32&gt;1,"",(((D$102+D$110-((((D$112+D$120+D$112*D$116-D$119-D$112*$C38-D$112*E$32)/(1-D$117))*D$108*D$109+((D$112+D$120+D$112*D$116-D$119-D$112*$C38-D$112*E$32)/(1-D$117))*D$117/D$118)*(1-D$115))-(D$112*$C38-D$121)*D$122*(1-D$115))/(D$100+D$112*E$32/D$123))/D$101-1))</x:f>
        <x:v>-0.025820724254049576</x:v>
      </x:c>
      <x:c r="F38" s="564" t="n">
        <x:f>IF($C38+F$32&gt;1,"",(((D$102+D$110-((((D$112+D$120+D$112*D$116-D$119-D$112*$C38-D$112*F$32)/(1-D$117))*D$108*D$109+((D$112+D$120+D$112*D$116-D$119-D$112*$C38-D$112*F$32)/(1-D$117))*D$117/D$118)*(1-D$115))-(D$112*$C38-D$121)*D$122*(1-D$115))/(D$100+D$112*F$32/D$123))/D$101-1))</x:f>
        <x:v>-0.03303087257795867</x:v>
      </x:c>
      <x:c r="G38" s="564" t="str">
        <x:f>IF($C38+G$32&gt;1,"",(((D$102+D$110-((((D$112+D$120+D$112*D$116-D$119-D$112*$C38-D$112*G$32)/(1-D$117))*D$108*D$109+((D$112+D$120+D$112*D$116-D$119-D$112*$C38-D$112*G$32)/(1-D$117))*D$117/D$118)*(1-D$115))-(D$112*$C38-D$121)*D$122*(1-D$115))/(D$100+D$112*G$32/D$123))/D$101-1))</x:f>
      </x:c>
      <x:c r="H38" s="564" t="str">
        <x:f>IF($C38+H$32&gt;1,"",(((D$102+D$110-((((D$112+D$120+D$112*D$116-D$119-D$112*$C38-D$112*H$32)/(1-D$117))*D$108*D$109+((D$112+D$120+D$112*D$116-D$119-D$112*$C38-D$112*H$32)/(1-D$117))*D$117/D$118)*(1-D$115))-(D$112*$C38-D$121)*D$122*(1-D$115))/(D$100+D$112*H$32/D$123))/D$101-1))</x:f>
      </x:c>
      <x:c r="I38"/>
      <x:c r="J38" s="130" t="n">
        <x:v>0.5</x:v>
      </x:c>
      <x:c r="K38" s="564" t="n">
        <x:f>IF($J38+K$32&gt;1,"",(((E$102+E$110-((((E$112+E$120+E$112*E$116-E$119-E$112*$J38-E$112*K$32)/(1-E$117))*E$108*E$109+((E$112+E$120+E$112*E$116-E$119-E$112*$J38-E$112*K$32)/(1-E$117))*E$117/E$118)*(1-E$115))-(E$112*$J38-E$121)*E$122*(1-E$115))/(E$100+E$112*K$32/E$123))/E$101-1))</x:f>
        <x:v>-0.004119196878333398</x:v>
      </x:c>
      <x:c r="L38" s="564" t="n">
        <x:f>IF($J38+L$32&gt;1,"",(((E$102+E$110-((((E$112+E$120+E$112*E$116-E$119-E$112*$J38-E$112*L$32)/(1-E$117))*E$108*E$109+((E$112+E$120+E$112*E$116-E$119-E$112*$J38-E$112*L$32)/(1-E$117))*E$117/E$118)*(1-E$115))-(E$112*$J38-E$121)*E$122*(1-E$115))/(E$100+E$112*L$32/E$123))/E$101-1))</x:f>
        <x:v>-0.01363775221456398</x:v>
      </x:c>
      <x:c r="M38" s="564" t="n">
        <x:f>IF($J38+M$32&gt;1,"",(((E$102+E$110-((((E$112+E$120+E$112*E$116-E$119-E$112*$J38-E$112*M$32)/(1-E$117))*E$108*E$109+((E$112+E$120+E$112*E$116-E$119-E$112*$J38-E$112*M$32)/(1-E$117))*E$117/E$118)*(1-E$115))-(E$112*$J38-E$121)*E$122*(1-E$115))/(E$100+E$112*M$32/E$123))/E$101-1))</x:f>
        <x:v>-0.022718424701029583</x:v>
      </x:c>
      <x:c r="N38" s="564" t="str">
        <x:f>IF($J38+N$32&gt;1,"",(((E$102+E$110-((((E$112+E$120+E$112*E$116-E$119-E$112*$J38-E$112*N$32)/(1-E$117))*E$108*E$109+((E$112+E$120+E$112*E$116-E$119-E$112*$J38-E$112*N$32)/(1-E$117))*E$117/E$118)*(1-E$115))-(E$112*$J38-E$121)*E$122*(1-E$115))/(E$100+E$112*N$32/E$123))/E$101-1))</x:f>
      </x:c>
      <x:c r="O38" s="564" t="str">
        <x:f>IF($J38+O$32&gt;1,"",(((E$102+E$110-((((E$112+E$120+E$112*E$116-E$119-E$112*$J38-E$112*O$32)/(1-E$117))*E$108*E$109+((E$112+E$120+E$112*E$116-E$119-E$112*$J38-E$112*O$32)/(1-E$117))*E$117/E$118)*(1-E$115))-(E$112*$J38-E$121)*E$122*(1-E$115))/(E$100+E$112*O$32/E$123))/E$101-1))</x:f>
      </x:c>
    </x:row>
    <x:row r="39">
      <x:c r="A39" s="79"/>
      <x:c r="C39"/>
      <x:c r="D39"/>
      <x:c r="E39"/>
      <x:c r="F39"/>
      <x:c r="G39"/>
      <x:c r="H39"/>
      <x:c r="I39"/>
      <x:c r="J39"/>
      <x:c r="K39"/>
      <x:c r="L39"/>
      <x:c r="M39"/>
    </x:row>
    <x:row r="40">
      <x:c r="A40" s="79"/>
      <x:c r="C40"/>
      <x:c r="D40"/>
      <x:c r="E40"/>
      <x:c r="F40"/>
      <x:c r="G40"/>
      <x:c r="H40"/>
      <x:c r="I40"/>
      <x:c r="J40"/>
      <x:c r="K40"/>
      <x:c r="L40"/>
      <x:c r="M40"/>
    </x:row>
    <x:row r="41">
      <x:c r="A41" s="79"/>
      <x:c r="C41"/>
      <x:c r="D41"/>
      <x:c r="E41"/>
      <x:c r="F41"/>
      <x:c r="G41"/>
      <x:c r="H41"/>
      <x:c r="I41"/>
      <x:c r="J41"/>
      <x:c r="K41"/>
      <x:c r="L41"/>
      <x:c r="M41"/>
    </x:row>
    <x:row r="42">
      <x:c r="A42" s="79"/>
      <x:c r="C42" s="550" t="str">
        <x:v>Buyer share price and offer price - FY2026</x:v>
      </x:c>
      <x:c r="D42" s="551"/>
      <x:c r="E42" s="551"/>
      <x:c r="F42" s="551"/>
      <x:c r="G42" s="551"/>
      <x:c r="H42" s="552"/>
      <x:c r="I42"/>
      <x:c r="J42" s="550" t="str">
        <x:v>Buyer share price and offer price - FY2027</x:v>
      </x:c>
      <x:c r="K42" s="551"/>
      <x:c r="L42" s="551"/>
      <x:c r="M42" s="551"/>
      <x:c r="N42" s="551"/>
      <x:c r="O42" s="552"/>
    </x:row>
    <x:row r="43">
      <x:c r="A43" s="79"/>
      <x:c r="C43"/>
      <x:c r="D43"/>
      <x:c r="E43"/>
      <x:c r="F43"/>
      <x:c r="G43"/>
      <x:c r="H43"/>
      <x:c r="I43"/>
      <x:c r="J43"/>
      <x:c r="K43"/>
      <x:c r="L43"/>
      <x:c r="M43"/>
    </x:row>
    <x:row r="44">
      <x:c r="A44" s="79"/>
      <x:c r="C44" s="557" t="str">
        <x:v>Offer price / buyer price</x:v>
      </x:c>
      <x:c r="D44" s="565" t="n">
        <x:v>80</x:v>
      </x:c>
      <x:c r="E44" s="565" t="n">
        <x:v>90</x:v>
      </x:c>
      <x:c r="F44" s="565" t="n">
        <x:v>100</x:v>
      </x:c>
      <x:c r="G44" s="565" t="n">
        <x:v>110</x:v>
      </x:c>
      <x:c r="H44" s="565" t="n">
        <x:v>120</x:v>
      </x:c>
      <x:c r="I44"/>
      <x:c r="J44" s="557" t="str">
        <x:v>Offer price / buyer price</x:v>
      </x:c>
      <x:c r="K44" s="565" t="n">
        <x:v>80</x:v>
      </x:c>
      <x:c r="L44" s="565" t="n">
        <x:v>90</x:v>
      </x:c>
      <x:c r="M44" s="565" t="n">
        <x:v>100</x:v>
      </x:c>
      <x:c r="N44" s="565" t="n">
        <x:v>110</x:v>
      </x:c>
      <x:c r="O44" s="565" t="n">
        <x:v>120</x:v>
      </x:c>
    </x:row>
    <x:row r="45">
      <x:c r="A45" s="79"/>
      <x:c r="C45"/>
      <x:c r="D45"/>
      <x:c r="E45"/>
      <x:c r="F45"/>
      <x:c r="G45"/>
      <x:c r="H45"/>
      <x:c r="I45"/>
      <x:c r="J45"/>
      <x:c r="K45"/>
      <x:c r="L45"/>
      <x:c r="M45"/>
    </x:row>
    <x:row r="46">
      <x:c r="A46" s="79"/>
      <x:c r="C46" s="297" t="n">
        <x:v>58</x:v>
      </x:c>
      <x:c r="D46" s="564" t="n">
        <x:f>(((D$102+D$110-((((($C46*D$124)+D$120+($C46*D$124)*D$116-D$119-D$121-(($C46*D$124)*25%))/(1-D$117))*D$108*D$109+((($C46*D$124)+D$120+($C46*D$124)*D$116-D$119-D$121-(($C46*D$124)*25%))/(1-D$117))*D$117/D$118)*(1-D$115))-D$126*(($C46*D$124)-D$112))/(D$100+(($C46*D$124)*25%)/D$44))/D$101-1)</x:f>
        <x:v>-0.019308165569984492</x:v>
      </x:c>
      <x:c r="E46" s="564" t="n">
        <x:f>(((D$102+D$110-((((($C46*D$124)+D$120+($C46*D$124)*D$116-D$119-D$121-(($C46*D$124)*25%))/(1-D$117))*D$108*D$109+((($C46*D$124)+D$120+($C46*D$124)*D$116-D$119-D$121-(($C46*D$124)*25%))/(1-D$117))*D$117/D$118)*(1-D$115))-D$126*(($C46*D$124)-D$112))/(D$100+(($C46*D$124)*25%)/E$44))/D$101-1)</x:f>
        <x:v>-0.016631890293100637</x:v>
      </x:c>
      <x:c r="F46" s="564" t="n">
        <x:f>(((D$102+D$110-((((($C46*D$124)+D$120+($C46*D$124)*D$116-D$119-D$121-(($C46*D$124)*25%))/(1-D$117))*D$108*D$109+((($C46*D$124)+D$120+($C46*D$124)*D$116-D$119-D$121-(($C46*D$124)*25%))/(1-D$117))*D$117/D$118)*(1-D$115))-D$126*(($C46*D$124)-D$112))/(D$100+(($C46*D$124)*25%)/F$44))/D$101-1)</x:f>
        <x:v>-0.014480330070067549</x:v>
      </x:c>
      <x:c r="G46" s="564" t="n">
        <x:f>(((D$102+D$110-((((($C46*D$124)+D$120+($C46*D$124)*D$116-D$119-D$121-(($C46*D$124)*25%))/(1-D$117))*D$108*D$109+((($C46*D$124)+D$120+($C46*D$124)*D$116-D$119-D$121-(($C46*D$124)*25%))/(1-D$117))*D$117/D$118)*(1-D$115))-D$126*(($C46*D$124)-D$112))/(D$100+(($C46*D$124)*25%)/G$44))/D$101-1)</x:f>
        <x:v>-0.012712947154532084</x:v>
      </x:c>
      <x:c r="H46" s="564" t="n">
        <x:f>(((D$102+D$110-((((($C46*D$124)+D$120+($C46*D$124)*D$116-D$119-D$121-(($C46*D$124)*25%))/(1-D$117))*D$108*D$109+((($C46*D$124)+D$120+($C46*D$124)*D$116-D$119-D$121-(($C46*D$124)*25%))/(1-D$117))*D$117/D$118)*(1-D$115))-D$126*(($C46*D$124)-D$112))/(D$100+(($C46*D$124)*25%)/H$44))/D$101-1)</x:f>
        <x:v>-0.011235278460497433</x:v>
      </x:c>
      <x:c r="I46"/>
      <x:c r="J46" s="297" t="n">
        <x:v>58</x:v>
      </x:c>
      <x:c r="K46" s="564" t="n">
        <x:f>(((E$102+E$110-((((($J46*E$124)+E$120+($J46*E$124)*E$116-E$119-E$121-(($J46*E$124)*25%))/(1-E$117))*E$108*E$109+((($J46*E$124)+E$120+($J46*E$124)*E$116-E$119-E$121-(($J46*E$124)*25%))/(1-E$117))*E$117/E$118)*(1-E$115))-E$126*(($J46*E$124)-E$112))/(E$100+(($J46*E$124)*25%)/K$44))/E$101-1)</x:f>
        <x:v>-0.007972948455661766</x:v>
      </x:c>
      <x:c r="L46" s="564" t="n">
        <x:f>(((E$102+E$110-((((($J46*E$124)+E$120+($J46*E$124)*E$116-E$119-E$121-(($J46*E$124)*25%))/(1-E$117))*E$108*E$109+((($J46*E$124)+E$120+($J46*E$124)*E$116-E$119-E$121-(($J46*E$124)*25%))/(1-E$117))*E$117/E$118)*(1-E$115))-E$126*(($J46*E$124)-E$112))/(E$100+(($J46*E$124)*25%)/L$44))/E$101-1)</x:f>
        <x:v>-0.00525243414584653</x:v>
      </x:c>
      <x:c r="M46" s="564" t="n">
        <x:f>(((E$102+E$110-((((($J46*E$124)+E$120+($J46*E$124)*E$116-E$119-E$121-(($J46*E$124)*25%))/(1-E$117))*E$108*E$109+((($J46*E$124)+E$120+($J46*E$124)*E$116-E$119-E$121-(($J46*E$124)*25%))/(1-E$117))*E$117/E$118)*(1-E$115))-E$126*(($J46*E$124)-E$112))/(E$100+(($J46*E$124)*25%)/M$44))/E$101-1)</x:f>
        <x:v>-0.0030652556945225395</x:v>
      </x:c>
      <x:c r="N46" s="564" t="n">
        <x:f>(((E$102+E$110-((((($J46*E$124)+E$120+($J46*E$124)*E$116-E$119-E$121-(($J46*E$124)*25%))/(1-E$117))*E$108*E$109+((($J46*E$124)+E$120+($J46*E$124)*E$116-E$119-E$121-(($J46*E$124)*25%))/(1-E$117))*E$117/E$118)*(1-E$115))-E$126*(($J46*E$124)-E$112))/(E$100+(($J46*E$124)*25%)/N$44))/E$101-1)</x:f>
        <x:v>-0.0012685792627129544</x:v>
      </x:c>
      <x:c r="O46" s="564" t="n">
        <x:f>(((E$102+E$110-((((($J46*E$124)+E$120+($J46*E$124)*E$116-E$119-E$121-(($J46*E$124)*25%))/(1-E$117))*E$108*E$109+((($J46*E$124)+E$120+($J46*E$124)*E$116-E$119-E$121-(($J46*E$124)*25%))/(1-E$117))*E$117/E$118)*(1-E$115))-E$126*(($J46*E$124)-E$112))/(E$100+(($J46*E$124)*25%)/O$44))/E$101-1)</x:f>
        <x:v>0.00023360543849260118</x:v>
      </x:c>
    </x:row>
    <x:row r="47">
      <x:c r="A47" s="79"/>
      <x:c r="C47" s="297" t="n">
        <x:v>64</x:v>
      </x:c>
      <x:c r="D47" s="564" t="n">
        <x:f>(((D$102+D$110-((((($C47*D$124)+D$120+($C47*D$124)*D$116-D$119-D$121-(($C47*D$124)*25%))/(1-D$117))*D$108*D$109+((($C47*D$124)+D$120+($C47*D$124)*D$116-D$119-D$121-(($C47*D$124)*25%))/(1-D$117))*D$117/D$118)*(1-D$115))-D$126*(($C47*D$124)-D$112))/(D$100+(($C47*D$124)*25%)/D$44))/D$101-1)</x:f>
        <x:v>-0.028692716557348508</x:v>
      </x:c>
      <x:c r="E47" s="564" t="n">
        <x:f>(((D$102+D$110-((((($C47*D$124)+D$120+($C47*D$124)*D$116-D$119-D$121-(($C47*D$124)*25%))/(1-D$117))*D$108*D$109+((($C47*D$124)+D$120+($C47*D$124)*D$116-D$119-D$121-(($C47*D$124)*25%))/(1-D$117))*D$117/D$118)*(1-D$115))-D$126*(($C47*D$124)-D$112))/(D$100+(($C47*D$124)*25%)/E$44))/D$101-1)</x:f>
        <x:v>-0.02577443547399172</x:v>
      </x:c>
      <x:c r="F47" s="564" t="n">
        <x:f>(((D$102+D$110-((((($C47*D$124)+D$120+($C47*D$124)*D$116-D$119-D$121-(($C47*D$124)*25%))/(1-D$117))*D$108*D$109+((($C47*D$124)+D$120+($C47*D$124)*D$116-D$119-D$121-(($C47*D$124)*25%))/(1-D$117))*D$117/D$118)*(1-D$115))-D$126*(($C47*D$124)-D$112))/(D$100+(($C47*D$124)*25%)/F$44))/D$101-1)</x:f>
        <x:v>-0.023427154352514523</x:v>
      </x:c>
      <x:c r="G47" s="564" t="n">
        <x:f>(((D$102+D$110-((((($C47*D$124)+D$120+($C47*D$124)*D$116-D$119-D$121-(($C47*D$124)*25%))/(1-D$117))*D$108*D$109+((($C47*D$124)+D$120+($C47*D$124)*D$116-D$119-D$121-(($C47*D$124)*25%))/(1-D$117))*D$117/D$118)*(1-D$115))-D$126*(($C47*D$124)-D$112))/(D$100+(($C47*D$124)*25%)/G$44))/D$101-1)</x:f>
        <x:v>-0.021498221864724942</x:v>
      </x:c>
      <x:c r="H47" s="564" t="n">
        <x:f>(((D$102+D$110-((((($C47*D$124)+D$120+($C47*D$124)*D$116-D$119-D$121-(($C47*D$124)*25%))/(1-D$117))*D$108*D$109+((($C47*D$124)+D$120+($C47*D$124)*D$116-D$119-D$121-(($C47*D$124)*25%))/(1-D$117))*D$117/D$118)*(1-D$115))-D$126*(($C47*D$124)-D$112))/(D$100+(($C47*D$124)*25%)/H$44))/D$101-1)</x:f>
        <x:v>-0.019884947635103067</x:v>
      </x:c>
      <x:c r="I47"/>
      <x:c r="J47" s="297" t="n">
        <x:v>64</x:v>
      </x:c>
      <x:c r="K47" s="564" t="n">
        <x:f>(((E$102+E$110-((((($J47*E$124)+E$120+($J47*E$124)*E$116-E$119-E$121-(($J47*E$124)*25%))/(1-E$117))*E$108*E$109+((($J47*E$124)+E$120+($J47*E$124)*E$116-E$119-E$121-(($J47*E$124)*25%))/(1-E$117))*E$117/E$118)*(1-E$115))-E$126*(($J47*E$124)-E$112))/(E$100+(($J47*E$124)*25%)/K$44))/E$101-1)</x:f>
        <x:v>-0.016418538125024695</x:v>
      </x:c>
      <x:c r="L47" s="564" t="n">
        <x:f>(((E$102+E$110-((((($J47*E$124)+E$120+($J47*E$124)*E$116-E$119-E$121-(($J47*E$124)*25%))/(1-E$117))*E$108*E$109+((($J47*E$124)+E$120+($J47*E$124)*E$116-E$119-E$121-(($J47*E$124)*25%))/(1-E$117))*E$117/E$118)*(1-E$115))-E$126*(($J47*E$124)-E$112))/(E$100+(($J47*E$124)*25%)/L$44))/E$101-1)</x:f>
        <x:v>-0.013448888060580866</x:v>
      </x:c>
      <x:c r="M47" s="564" t="n">
        <x:f>(((E$102+E$110-((((($J47*E$124)+E$120+($J47*E$124)*E$116-E$119-E$121-(($J47*E$124)*25%))/(1-E$117))*E$108*E$109+((($J47*E$124)+E$120+($J47*E$124)*E$116-E$119-E$121-(($J47*E$124)*25%))/(1-E$117))*E$117/E$118)*(1-E$115))-E$126*(($J47*E$124)-E$112))/(E$100+(($J47*E$124)*25%)/M$44))/E$101-1)</x:f>
        <x:v>-0.011060225664289991</x:v>
      </x:c>
      <x:c r="N47" s="564" t="n">
        <x:f>(((E$102+E$110-((((($J47*E$124)+E$120+($J47*E$124)*E$116-E$119-E$121-(($J47*E$124)*25%))/(1-E$117))*E$108*E$109+((($J47*E$124)+E$120+($J47*E$124)*E$116-E$119-E$121-(($J47*E$124)*25%))/(1-E$117))*E$117/E$118)*(1-E$115))-E$126*(($J47*E$124)-E$112))/(E$100+(($J47*E$124)*25%)/N$44))/E$101-1)</x:f>
        <x:v>-0.00909724490624042</x:v>
      </x:c>
      <x:c r="O47" s="564" t="n">
        <x:f>(((E$102+E$110-((((($J47*E$124)+E$120+($J47*E$124)*E$116-E$119-E$121-(($J47*E$124)*25%))/(1-E$117))*E$108*E$109+((($J47*E$124)+E$120+($J47*E$124)*E$116-E$119-E$121-(($J47*E$124)*25%))/(1-E$117))*E$117/E$118)*(1-E$115))-E$126*(($J47*E$124)-E$112))/(E$100+(($J47*E$124)*25%)/O$44))/E$101-1)</x:f>
        <x:v>-0.007455464929329025</x:v>
      </x:c>
    </x:row>
    <x:row r="48">
      <x:c r="A48" s="79"/>
      <x:c r="C48" s="297" t="n">
        <x:v>68.965</x:v>
      </x:c>
      <x:c r="D48" s="564" t="n">
        <x:f>(((D$102+D$110-((((($C48*D$124)+D$120+($C48*D$124)*D$116-D$119-D$121-(($C48*D$124)*25%))/(1-D$117))*D$108*D$109+((($C48*D$124)+D$120+($C48*D$124)*D$116-D$119-D$121-(($C48*D$124)*25%))/(1-D$117))*D$117/D$118)*(1-D$115))-D$126*(($C48*D$124)-D$112))/(D$100+(($C48*D$124)*25%)/D$44))/D$101-1)</x:f>
        <x:v>-0.0364226382788313</x:v>
      </x:c>
      <x:c r="E48" s="564" t="n">
        <x:f>(((D$102+D$110-((((($C48*D$124)+D$120+($C48*D$124)*D$116-D$119-D$121-(($C48*D$124)*25%))/(1-D$117))*D$108*D$109+((($C48*D$124)+D$120+($C48*D$124)*D$116-D$119-D$121-(($C48*D$124)*25%))/(1-D$117))*D$117/D$118)*(1-D$115))-D$126*(($C48*D$124)-D$112))/(D$100+(($C48*D$124)*25%)/E$44))/D$101-1)</x:f>
        <x:v>-0.033308794848180834</x:v>
      </x:c>
      <x:c r="F48" s="564" t="n">
        <x:f>(((D$102+D$110-((((($C48*D$124)+D$120+($C48*D$124)*D$116-D$119-D$121-(($C48*D$124)*25%))/(1-D$117))*D$108*D$109+((($C48*D$124)+D$120+($C48*D$124)*D$116-D$119-D$121-(($C48*D$124)*25%))/(1-D$117))*D$117/D$118)*(1-D$115))-D$126*(($C48*D$124)-D$112))/(D$100+(($C48*D$124)*25%)/F$44))/D$101-1)</x:f>
        <x:v>-0.03080319251097674</x:v>
      </x:c>
      <x:c r="G48" s="564" t="n">
        <x:f>(((D$102+D$110-((((($C48*D$124)+D$120+($C48*D$124)*D$116-D$119-D$121-(($C48*D$124)*25%))/(1-D$117))*D$108*D$109+((($C48*D$124)+D$120+($C48*D$124)*D$116-D$119-D$121-(($C48*D$124)*25%))/(1-D$117))*D$117/D$118)*(1-D$115))-D$126*(($C48*D$124)-D$112))/(D$100+(($C48*D$124)*25%)/G$44))/D$101-1)</x:f>
        <x:v>-0.028743472668559145</x:v>
      </x:c>
      <x:c r="H48" s="564" t="n">
        <x:f>(((D$102+D$110-((((($C48*D$124)+D$120+($C48*D$124)*D$116-D$119-D$121-(($C48*D$124)*25%))/(1-D$117))*D$108*D$109+((($C48*D$124)+D$120+($C48*D$124)*D$116-D$119-D$121-(($C48*D$124)*25%))/(1-D$117))*D$117/D$118)*(1-D$115))-D$126*(($C48*D$124)-D$112))/(D$100+(($C48*D$124)*25%)/H$44))/D$101-1)</x:f>
        <x:v>-0.027020340090894712</x:v>
      </x:c>
      <x:c r="I48"/>
      <x:c r="J48" s="297" t="n">
        <x:v>68.965</x:v>
      </x:c>
      <x:c r="K48" s="564" t="n">
        <x:f>(((E$102+E$110-((((($J48*E$124)+E$120+($J48*E$124)*E$116-E$119-E$121-(($J48*E$124)*25%))/(1-E$117))*E$108*E$109+((($J48*E$124)+E$120+($J48*E$124)*E$116-E$119-E$121-(($J48*E$124)*25%))/(1-E$117))*E$117/E$118)*(1-E$115))-E$126*(($J48*E$124)-E$112))/(E$100+(($J48*E$124)*25%)/K$44))/E$101-1)</x:f>
        <x:v>-0.023374893550663467</x:v>
      </x:c>
      <x:c r="L48" s="564" t="n">
        <x:f>(((E$102+E$110-((((($J48*E$124)+E$120+($J48*E$124)*E$116-E$119-E$121-(($J48*E$124)*25%))/(1-E$117))*E$108*E$109+((($J48*E$124)+E$120+($J48*E$124)*E$116-E$119-E$121-(($J48*E$124)*25%))/(1-E$117))*E$117/E$118)*(1-E$115))-E$126*(($J48*E$124)-E$112))/(E$100+(($J48*E$124)*25%)/L$44))/E$101-1)</x:f>
        <x:v>-0.020203438420466235</x:v>
      </x:c>
      <x:c r="M48" s="564" t="n">
        <x:f>(((E$102+E$110-((((($J48*E$124)+E$120+($J48*E$124)*E$116-E$119-E$121-(($J48*E$124)*25%))/(1-E$117))*E$108*E$109+((($J48*E$124)+E$120+($J48*E$124)*E$116-E$119-E$121-(($J48*E$124)*25%))/(1-E$117))*E$117/E$118)*(1-E$115))-E$126*(($J48*E$124)-E$112))/(E$100+(($J48*E$124)*25%)/M$44))/E$101-1)</x:f>
        <x:v>-0.017651405326378433</x:v>
      </x:c>
      <x:c r="N48" s="564" t="n">
        <x:f>(((E$102+E$110-((((($J48*E$124)+E$120+($J48*E$124)*E$116-E$119-E$121-(($J48*E$124)*25%))/(1-E$117))*E$108*E$109+((($J48*E$124)+E$120+($J48*E$124)*E$116-E$119-E$121-(($J48*E$124)*25%))/(1-E$117))*E$117/E$118)*(1-E$115))-E$126*(($J48*E$124)-E$112))/(E$100+(($J48*E$124)*25%)/N$44))/E$101-1)</x:f>
        <x:v>-0.015553468781561164</x:v>
      </x:c>
      <x:c r="O48" s="564" t="n">
        <x:f>(((E$102+E$110-((((($J48*E$124)+E$120+($J48*E$124)*E$116-E$119-E$121-(($J48*E$124)*25%))/(1-E$117))*E$108*E$109+((($J48*E$124)+E$120+($J48*E$124)*E$116-E$119-E$121-(($J48*E$124)*25%))/(1-E$117))*E$117/E$118)*(1-E$115))-E$126*(($J48*E$124)-E$112))/(E$100+(($J48*E$124)*25%)/O$44))/E$101-1)</x:f>
        <x:v>-0.013798331032170208</x:v>
      </x:c>
    </x:row>
    <x:row r="49">
      <x:c r="A49" s="79"/>
      <x:c r="C49" s="297" t="n">
        <x:v>74</x:v>
      </x:c>
      <x:c r="D49" s="564" t="n">
        <x:f>(((D$102+D$110-((((($C49*D$124)+D$120+($C49*D$124)*D$116-D$119-D$121-(($C49*D$124)*25%))/(1-D$117))*D$108*D$109+((($C49*D$124)+D$120+($C49*D$124)*D$116-D$119-D$121-(($C49*D$124)*25%))/(1-D$117))*D$117/D$118)*(1-D$115))-D$126*(($C49*D$124)-D$112))/(D$100+(($C49*D$124)*25%)/D$44))/D$101-1)</x:f>
        <x:v>-0.0442286596523106</x:v>
      </x:c>
      <x:c r="E49" s="564" t="n">
        <x:f>(((D$102+D$110-((((($C49*D$124)+D$120+($C49*D$124)*D$116-D$119-D$121-(($C49*D$124)*25%))/(1-D$117))*D$108*D$109+((($C49*D$124)+D$120+($C49*D$124)*D$116-D$119-D$121-(($C49*D$124)*25%))/(1-D$117))*D$117/D$118)*(1-D$115))-D$126*(($C49*D$124)-D$112))/(D$100+(($C49*D$124)*25%)/E$44))/D$101-1)</x:f>
        <x:v>-0.04092079113639491</x:v>
      </x:c>
      <x:c r="F49" s="564" t="n">
        <x:f>(((D$102+D$110-((((($C49*D$124)+D$120+($C49*D$124)*D$116-D$119-D$121-(($C49*D$124)*25%))/(1-D$117))*D$108*D$109+((($C49*D$124)+D$120+($C49*D$124)*D$116-D$119-D$121-(($C49*D$124)*25%))/(1-D$117))*D$117/D$118)*(1-D$115))-D$126*(($C49*D$124)-D$112))/(D$100+(($C49*D$124)*25%)/F$44))/D$101-1)</x:f>
        <x:v>-0.03825796494448541</x:v>
      </x:c>
      <x:c r="G49" s="564" t="n">
        <x:f>(((D$102+D$110-((((($C49*D$124)+D$120+($C49*D$124)*D$116-D$119-D$121-(($C49*D$124)*25%))/(1-D$117))*D$108*D$109+((($C49*D$124)+D$120+($C49*D$124)*D$116-D$119-D$121-(($C49*D$124)*25%))/(1-D$117))*D$117/D$118)*(1-D$115))-D$126*(($C49*D$124)-D$112))/(D$100+(($C49*D$124)*25%)/G$44))/D$101-1)</x:f>
        <x:v>-0.036068265812654654</x:v>
      </x:c>
      <x:c r="H49" s="564" t="n">
        <x:f>(((D$102+D$110-((((($C49*D$124)+D$120+($C49*D$124)*D$116-D$119-D$121-(($C49*D$124)*25%))/(1-D$117))*D$108*D$109+((($C49*D$124)+D$120+($C49*D$124)*D$116-D$119-D$121-(($C49*D$124)*25%))/(1-D$117))*D$117/D$118)*(1-D$115))-D$126*(($C49*D$124)-D$112))/(D$100+(($C49*D$124)*25%)/H$44))/D$101-1)</x:f>
        <x:v>-0.034235885293377954</x:v>
      </x:c>
      <x:c r="I49"/>
      <x:c r="J49" s="297" t="n">
        <x:v>74</x:v>
      </x:c>
      <x:c r="K49" s="564" t="n">
        <x:f>(((E$102+E$110-((((($J49*E$124)+E$120+($J49*E$124)*E$116-E$119-E$121-(($J49*E$124)*25%))/(1-E$117))*E$108*E$109+((($J49*E$124)+E$120+($J49*E$124)*E$116-E$119-E$121-(($J49*E$124)*25%))/(1-E$117))*E$117/E$118)*(1-E$115))-E$126*(($J49*E$124)-E$112))/(E$100+(($J49*E$124)*25%)/K$44))/E$101-1)</x:f>
        <x:v>-0.030399588948404555</x:v>
      </x:c>
      <x:c r="L49" s="564" t="n">
        <x:f>(((E$102+E$110-((((($J49*E$124)+E$120+($J49*E$124)*E$116-E$119-E$121-(($J49*E$124)*25%))/(1-E$117))*E$108*E$109+((($J49*E$124)+E$120+($J49*E$124)*E$116-E$119-E$121-(($J49*E$124)*25%))/(1-E$117))*E$117/E$118)*(1-E$115))-E$126*(($J49*E$124)-E$112))/(E$100+(($J49*E$124)*25%)/L$44))/E$101-1)</x:f>
        <x:v>-0.02702746503976805</x:v>
      </x:c>
      <x:c r="M49" s="564" t="n">
        <x:f>(((E$102+E$110-((((($J49*E$124)+E$120+($J49*E$124)*E$116-E$119-E$121-(($J49*E$124)*25%))/(1-E$117))*E$108*E$109+((($J49*E$124)+E$120+($J49*E$124)*E$116-E$119-E$121-(($J49*E$124)*25%))/(1-E$117))*E$117/E$118)*(1-E$115))-E$126*(($J49*E$124)-E$112))/(E$100+(($J49*E$124)*25%)/M$44))/E$101-1)</x:f>
        <x:v>-0.02431283085196645</x:v>
      </x:c>
      <x:c r="N49" s="564" t="n">
        <x:f>(((E$102+E$110-((((($J49*E$124)+E$120+($J49*E$124)*E$116-E$119-E$121-(($J49*E$124)*25%))/(1-E$117))*E$108*E$109+((($J49*E$124)+E$120+($J49*E$124)*E$116-E$119-E$121-(($J49*E$124)*25%))/(1-E$117))*E$117/E$118)*(1-E$115))-E$126*(($J49*E$124)-E$112))/(E$100+(($J49*E$124)*25%)/N$44))/E$101-1)</x:f>
        <x:v>-0.022080473714686355</x:v>
      </x:c>
      <x:c r="O49" s="564" t="n">
        <x:f>(((E$102+E$110-((((($J49*E$124)+E$120+($J49*E$124)*E$116-E$119-E$121-(($J49*E$124)*25%))/(1-E$117))*E$108*E$109+((($J49*E$124)+E$120+($J49*E$124)*E$116-E$119-E$121-(($J49*E$124)*25%))/(1-E$117))*E$117/E$118)*(1-E$115))-E$126*(($J49*E$124)-E$112))/(E$100+(($J49*E$124)*25%)/O$44))/E$101-1)</x:f>
        <x:v>-0.020212357918129142</x:v>
      </x:c>
    </x:row>
    <x:row r="50">
      <x:c r="A50" s="79"/>
      <x:c r="C50" s="297" t="n">
        <x:v>80</x:v>
      </x:c>
      <x:c r="D50" s="564" t="n">
        <x:f>(((D$102+D$110-((((($C50*D$124)+D$120+($C50*D$124)*D$116-D$119-D$121-(($C50*D$124)*25%))/(1-D$117))*D$108*D$109+((($C50*D$124)+D$120+($C50*D$124)*D$116-D$119-D$121-(($C50*D$124)*25%))/(1-D$117))*D$117/D$118)*(1-D$115))-D$126*(($C50*D$124)-D$112))/(D$100+(($C50*D$124)*25%)/D$44))/D$101-1)</x:f>
        <x:v>-0.053487820172729905</x:v>
      </x:c>
      <x:c r="E50" s="564" t="n">
        <x:f>(((D$102+D$110-((((($C50*D$124)+D$120+($C50*D$124)*D$116-D$119-D$121-(($C50*D$124)*25%))/(1-D$117))*D$108*D$109+((($C50*D$124)+D$120+($C50*D$124)*D$116-D$119-D$121-(($C50*D$124)*25%))/(1-D$117))*D$117/D$118)*(1-D$115))-D$126*(($C50*D$124)-D$112))/(D$100+(($C50*D$124)*25%)/E$44))/D$101-1)</x:f>
        <x:v>-0.049954322261997364</x:v>
      </x:c>
      <x:c r="F50" s="564" t="n">
        <x:f>(((D$102+D$110-((((($C50*D$124)+D$120+($C50*D$124)*D$116-D$119-D$121-(($C50*D$124)*25%))/(1-D$117))*D$108*D$109+((($C50*D$124)+D$120+($C50*D$124)*D$116-D$119-D$121-(($C50*D$124)*25%))/(1-D$117))*D$117/D$118)*(1-D$115))-D$126*(($C50*D$124)-D$112))/(D$100+(($C50*D$124)*25%)/F$44))/D$101-1)</x:f>
        <x:v>-0.04710847174172628</x:v>
      </x:c>
      <x:c r="G50" s="564" t="n">
        <x:f>(((D$102+D$110-((((($C50*D$124)+D$120+($C50*D$124)*D$116-D$119-D$121-(($C50*D$124)*25%))/(1-D$117))*D$108*D$109+((($C50*D$124)+D$120+($C50*D$124)*D$116-D$119-D$121-(($C50*D$124)*25%))/(1-D$117))*D$117/D$118)*(1-D$115))-D$126*(($C50*D$124)-D$112))/(D$100+(($C50*D$124)*25%)/G$44))/D$101-1)</x:f>
        <x:v>-0.044767336043382455</x:v>
      </x:c>
      <x:c r="H50" s="564" t="n">
        <x:f>(((D$102+D$110-((((($C50*D$124)+D$120+($C50*D$124)*D$116-D$119-D$121-(($C50*D$124)*25%))/(1-D$117))*D$108*D$109+((($C50*D$124)+D$120+($C50*D$124)*D$116-D$119-D$121-(($C50*D$124)*25%))/(1-D$117))*D$117/D$118)*(1-D$115))-D$126*(($C50*D$124)-D$112))/(D$100+(($C50*D$124)*25%)/H$44))/D$101-1)</x:f>
        <x:v>-0.042807584007246824</x:v>
      </x:c>
      <x:c r="I50"/>
      <x:c r="J50" s="297" t="n">
        <x:v>80</x:v>
      </x:c>
      <x:c r="K50" s="564" t="n">
        <x:f>(((E$102+E$110-((((($J50*E$124)+E$120+($J50*E$124)*E$116-E$119-E$121-(($J50*E$124)*25%))/(1-E$117))*E$108*E$109+((($J50*E$124)+E$120+($J50*E$124)*E$116-E$119-E$121-(($J50*E$124)*25%))/(1-E$117))*E$117/E$118)*(1-E$115))-E$126*(($J50*E$124)-E$112))/(E$100+(($J50*E$124)*25%)/K$44))/E$101-1)</x:f>
        <x:v>-0.03873178713667402</x:v>
      </x:c>
      <x:c r="L50" s="564" t="n">
        <x:f>(((E$102+E$110-((((($J50*E$124)+E$120+($J50*E$124)*E$116-E$119-E$121-(($J50*E$124)*25%))/(1-E$117))*E$108*E$109+((($J50*E$124)+E$120+($J50*E$124)*E$116-E$119-E$121-(($J50*E$124)*25%))/(1-E$117))*E$117/E$118)*(1-E$115))-E$126*(($J50*E$124)-E$112))/(E$100+(($J50*E$124)*25%)/L$44))/E$101-1)</x:f>
        <x:v>-0.03512571043786816</x:v>
      </x:c>
      <x:c r="M50" s="564" t="n">
        <x:f>(((E$102+E$110-((((($J50*E$124)+E$120+($J50*E$124)*E$116-E$119-E$121-(($J50*E$124)*25%))/(1-E$117))*E$108*E$109+((($J50*E$124)+E$120+($J50*E$124)*E$116-E$119-E$121-(($J50*E$124)*25%))/(1-E$117))*E$117/E$118)*(1-E$115))-E$126*(($J50*E$124)-E$112))/(E$100+(($J50*E$124)*25%)/M$44))/E$101-1)</x:f>
        <x:v>-0.032221310491933663</x:v>
      </x:c>
      <x:c r="N50" s="564" t="n">
        <x:f>(((E$102+E$110-((((($J50*E$124)+E$120+($J50*E$124)*E$116-E$119-E$121-(($J50*E$124)*25%))/(1-E$117))*E$108*E$109+((($J50*E$124)+E$120+($J50*E$124)*E$116-E$119-E$121-(($J50*E$124)*25%))/(1-E$117))*E$117/E$118)*(1-E$115))-E$126*(($J50*E$124)-E$112))/(E$100+(($J50*E$124)*25%)/N$44))/E$101-1)</x:f>
        <x:v>-0.02983194558828639</x:v>
      </x:c>
      <x:c r="O50" s="564" t="n">
        <x:f>(((E$102+E$110-((((($J50*E$124)+E$120+($J50*E$124)*E$116-E$119-E$121-(($J50*E$124)*25%))/(1-E$117))*E$108*E$109+((($J50*E$124)+E$120+($J50*E$124)*E$116-E$119-E$121-(($J50*E$124)*25%))/(1-E$117))*E$117/E$118)*(1-E$115))-E$126*(($J50*E$124)-E$112))/(E$100+(($J50*E$124)*25%)/O$44))/E$101-1)</x:f>
        <x:v>-0.02783177700838957</x:v>
      </x:c>
    </x:row>
    <x:row r="51">
      <x:c r="A51" s="79"/>
      <x:c r="C51" s="546" t="str">
        <x:v>Assumption: 25% of target equity consideration is funded with UPS shares; cash funding remains at the base-case dollar amount.</x:v>
      </x:c>
      <x:c r="D51" s="546"/>
      <x:c r="E51" s="546"/>
      <x:c r="F51" s="546"/>
      <x:c r="G51" s="546"/>
      <x:c r="H51" s="546"/>
      <x:c r="I51" s="546"/>
      <x:c r="J51" s="546"/>
      <x:c r="K51" s="546"/>
      <x:c r="L51" s="546"/>
      <x:c r="M51" s="546"/>
      <x:c r="N51" s="546"/>
      <x:c r="O51" s="546"/>
    </x:row>
    <x:row r="52">
      <x:c r="A52" s="79"/>
      <x:c r="C52"/>
      <x:c r="D52"/>
      <x:c r="E52"/>
      <x:c r="F52"/>
      <x:c r="G52"/>
      <x:c r="H52"/>
      <x:c r="I52"/>
      <x:c r="J52"/>
      <x:c r="K52"/>
      <x:c r="L52"/>
      <x:c r="M52"/>
    </x:row>
    <x:row r="53">
      <x:c r="A53" s="79"/>
      <x:c r="C53"/>
      <x:c r="D53"/>
      <x:c r="E53"/>
      <x:c r="F53"/>
      <x:c r="G53"/>
      <x:c r="H53"/>
      <x:c r="I53"/>
      <x:c r="J53"/>
      <x:c r="K53"/>
      <x:c r="L53"/>
      <x:c r="M53"/>
    </x:row>
    <x:row r="54">
      <x:c r="A54" s="79"/>
      <x:c r="C54" s="550" t="str">
        <x:v>Target earnings growth and synergies - FY2026</x:v>
      </x:c>
      <x:c r="D54" s="551"/>
      <x:c r="E54" s="551"/>
      <x:c r="F54" s="551"/>
      <x:c r="G54" s="551"/>
      <x:c r="H54" s="552"/>
      <x:c r="I54"/>
      <x:c r="J54" s="550" t="str">
        <x:v>Target earnings growth and synergies - FY2027</x:v>
      </x:c>
      <x:c r="K54" s="551"/>
      <x:c r="L54" s="551"/>
      <x:c r="M54" s="551"/>
      <x:c r="N54" s="551"/>
      <x:c r="O54" s="552"/>
    </x:row>
    <x:row r="55">
      <x:c r="A55" s="79"/>
      <x:c r="C55"/>
      <x:c r="D55"/>
      <x:c r="E55"/>
      <x:c r="F55"/>
      <x:c r="G55"/>
      <x:c r="H55"/>
      <x:c r="I55"/>
      <x:c r="J55"/>
      <x:c r="K55"/>
      <x:c r="L55"/>
      <x:c r="M55"/>
    </x:row>
    <x:row r="56">
      <x:c r="A56" s="79"/>
      <x:c r="C56" s="557" t="str">
        <x:v>Target NI growth / synergies</x:v>
      </x:c>
      <x:c r="D56" s="557" t="n">
        <x:v>150</x:v>
      </x:c>
      <x:c r="E56" s="557" t="n">
        <x:v>200</x:v>
      </x:c>
      <x:c r="F56" s="557" t="n">
        <x:v>265</x:v>
      </x:c>
      <x:c r="G56" s="557" t="n">
        <x:v>300</x:v>
      </x:c>
      <x:c r="H56" s="557" t="n">
        <x:v>350</x:v>
      </x:c>
      <x:c r="I56"/>
      <x:c r="J56" s="557" t="str">
        <x:v>Target NI growth / synergies</x:v>
      </x:c>
      <x:c r="K56" s="557" t="n">
        <x:v>150</x:v>
      </x:c>
      <x:c r="L56" s="557" t="n">
        <x:v>200</x:v>
      </x:c>
      <x:c r="M56" s="557" t="n">
        <x:v>265</x:v>
      </x:c>
      <x:c r="N56" s="557" t="n">
        <x:v>300</x:v>
      </x:c>
      <x:c r="O56" s="557" t="n">
        <x:v>350</x:v>
      </x:c>
    </x:row>
    <x:row r="57">
      <x:c r="A57" s="79"/>
      <x:c r="C57"/>
      <x:c r="D57"/>
      <x:c r="E57"/>
      <x:c r="F57"/>
      <x:c r="G57"/>
      <x:c r="H57"/>
      <x:c r="I57"/>
      <x:c r="J57"/>
      <x:c r="K57"/>
      <x:c r="L57"/>
      <x:c r="M57"/>
    </x:row>
    <x:row r="58">
      <x:c r="A58" s="79"/>
      <x:c r="C58" s="130" t="n">
        <x:v>-0.1</x:v>
      </x:c>
      <x:c r="D58" s="564" t="n">
        <x:f>((D$102+D$104*$C58+D$56*D$106*(1-D$115)-D$105)/D$100)/D$101-1</x:f>
        <x:v>-0.029190264987864478</x:v>
      </x:c>
      <x:c r="E58" s="564" t="n">
        <x:f>((D$102+D$104*$C58+E$56*D$106*(1-D$115)-D$105)/D$100)/D$101-1</x:f>
        <x:v>-0.028019199604893963</x:v>
      </x:c>
      <x:c r="F58" s="564" t="n">
        <x:f>((D$102+D$104*$C58+F$56*D$106*(1-D$115)-D$105)/D$100)/D$101-1</x:f>
        <x:v>-0.02649681460703235</x:v>
      </x:c>
      <x:c r="G58" s="564" t="n">
        <x:f>((D$102+D$104*$C58+G$56*D$106*(1-D$115)-D$105)/D$100)/D$101-1</x:f>
        <x:v>-0.025677068838952932</x:v>
      </x:c>
      <x:c r="H58" s="564" t="n">
        <x:f>((D$102+D$104*$C58+H$56*D$106*(1-D$115)-D$105)/D$100)/D$101-1</x:f>
        <x:v>-0.024506003455982417</x:v>
      </x:c>
      <x:c r="I58"/>
      <x:c r="J58" s="130" t="n">
        <x:v>-0.1</x:v>
      </x:c>
      <x:c r="K58" s="564" t="n">
        <x:f>((E$102+E$104*$J58+K$56*E$106*(1-E$115)-E$105)/E$100)/E$101-1</x:f>
        <x:v>-0.025447714212722516</x:v>
      </x:c>
      <x:c r="L58" s="564" t="n">
        <x:f>((E$102+E$104*$J58+L$56*E$106*(1-E$115)-E$105)/E$100)/E$101-1</x:f>
        <x:v>-0.02076162894270228</x:v>
      </x:c>
      <x:c r="M58" s="564" t="n">
        <x:f>((E$102+E$104*$J58+M$56*E$106*(1-E$115)-E$105)/E$100)/E$101-1</x:f>
        <x:v>-0.014669718091676054</x:v>
      </x:c>
      <x:c r="N58" s="564" t="n">
        <x:f>((E$102+E$104*$J58+N$56*E$106*(1-E$115)-E$105)/E$100)/E$101-1</x:f>
        <x:v>-0.011389458402662034</x:v>
      </x:c>
      <x:c r="O58" s="564" t="n">
        <x:f>((E$102+E$104*$J58+O$56*E$106*(1-E$115)-E$105)/E$100)/E$101-1</x:f>
        <x:v>-0.006703373132641688</x:v>
      </x:c>
    </x:row>
    <x:row r="59">
      <x:c r="A59" s="79"/>
      <x:c r="C59" s="130" t="n">
        <x:v>-0.05</x:v>
      </x:c>
      <x:c r="D59" s="564" t="n">
        <x:f>((D$102+D$104*$C59+D$56*D$106*(1-D$115)-D$105)/D$100)/D$101-1</x:f>
        <x:v>-0.02767632490096872</x:v>
      </x:c>
      <x:c r="E59" s="564" t="n">
        <x:f>((D$102+D$104*$C59+E$56*D$106*(1-D$115)-D$105)/D$100)/D$101-1</x:f>
        <x:v>-0.026505259517998203</x:v>
      </x:c>
      <x:c r="F59" s="564" t="n">
        <x:f>((D$102+D$104*$C59+F$56*D$106*(1-D$115)-D$105)/D$100)/D$101-1</x:f>
        <x:v>-0.02498287452013659</x:v>
      </x:c>
      <x:c r="G59" s="564" t="n">
        <x:f>((D$102+D$104*$C59+G$56*D$106*(1-D$115)-D$105)/D$100)/D$101-1</x:f>
        <x:v>-0.02416312875205706</x:v>
      </x:c>
      <x:c r="H59" s="564" t="n">
        <x:f>((D$102+D$104*$C59+H$56*D$106*(1-D$115)-D$105)/D$100)/D$101-1</x:f>
        <x:v>-0.022992063369086657</x:v>
      </x:c>
      <x:c r="I59"/>
      <x:c r="J59" s="130" t="n">
        <x:v>-0.05</x:v>
      </x:c>
      <x:c r="K59" s="564" t="n">
        <x:f>((E$102+E$104*$J59+K$56*E$106*(1-E$115)-E$105)/E$100)/E$101-1</x:f>
        <x:v>-0.022279773427111516</x:v>
      </x:c>
      <x:c r="L59" s="564" t="n">
        <x:f>((E$102+E$104*$J59+L$56*E$106*(1-E$115)-E$105)/E$100)/E$101-1</x:f>
        <x:v>-0.01759368815709139</x:v>
      </x:c>
      <x:c r="M59" s="564" t="n">
        <x:f>((E$102+E$104*$J59+M$56*E$106*(1-E$115)-E$105)/E$100)/E$101-1</x:f>
        <x:v>-0.011501777306065053</x:v>
      </x:c>
      <x:c r="N59" s="564" t="n">
        <x:f>((E$102+E$104*$J59+N$56*E$106*(1-E$115)-E$105)/E$100)/E$101-1</x:f>
        <x:v>-0.008221517617050922</x:v>
      </x:c>
      <x:c r="O59" s="564" t="n">
        <x:f>((E$102+E$104*$J59+O$56*E$106*(1-E$115)-E$105)/E$100)/E$101-1</x:f>
        <x:v>-0.003535432347030798</x:v>
      </x:c>
    </x:row>
    <x:row r="60">
      <x:c r="A60" s="79"/>
      <x:c r="C60" s="130" t="n">
        <x:v>0</x:v>
      </x:c>
      <x:c r="D60" s="564" t="n">
        <x:f>((D$102+D$104*$C60+D$56*D$106*(1-D$115)-D$105)/D$100)/D$101-1</x:f>
        <x:v>-0.02616238481407307</x:v>
      </x:c>
      <x:c r="E60" s="564" t="n">
        <x:f>((D$102+D$104*$C60+E$56*D$106*(1-D$115)-D$105)/D$100)/D$101-1</x:f>
        <x:v>-0.024991319431102665</x:v>
      </x:c>
      <x:c r="F60" s="564" t="n">
        <x:f>((D$102+D$104*$C60+F$56*D$106*(1-D$115)-D$105)/D$100)/D$101-1</x:f>
        <x:v>-0.02346893443324094</x:v>
      </x:c>
      <x:c r="G60" s="564" t="n">
        <x:f>((D$102+D$104*$C60+G$56*D$106*(1-D$115)-D$105)/D$100)/D$101-1</x:f>
        <x:v>-0.022649188665161524</x:v>
      </x:c>
      <x:c r="H60" s="564" t="n">
        <x:f>((D$102+D$104*$C60+H$56*D$106*(1-D$115)-D$105)/D$100)/D$101-1</x:f>
        <x:v>-0.02147812328219101</x:v>
      </x:c>
      <x:c r="I60"/>
      <x:c r="J60" s="130" t="n">
        <x:v>0</x:v>
      </x:c>
      <x:c r="K60" s="564" t="n">
        <x:f>((E$102+E$104*$J60+K$56*E$106*(1-E$115)-E$105)/E$100)/E$101-1</x:f>
        <x:v>-0.019111832641500293</x:v>
      </x:c>
      <x:c r="L60" s="564" t="n">
        <x:f>((E$102+E$104*$J60+L$56*E$106*(1-E$115)-E$105)/E$100)/E$101-1</x:f>
        <x:v>-0.014425747371480169</x:v>
      </x:c>
      <x:c r="M60" s="564" t="n">
        <x:f>((E$102+E$104*$J60+M$56*E$106*(1-E$115)-E$105)/E$100)/E$101-1</x:f>
        <x:v>-0.00833383652045383</x:v>
      </x:c>
      <x:c r="N60" s="564" t="n">
        <x:f>((E$102+E$104*$J60+N$56*E$106*(1-E$115)-E$105)/E$100)/E$101-1</x:f>
        <x:v>-0.005053576831439699</x:v>
      </x:c>
      <x:c r="O60" s="564" t="n">
        <x:f>((E$102+E$104*$J60+O$56*E$106*(1-E$115)-E$105)/E$100)/E$101-1</x:f>
        <x:v>-0.00036749156141957506</x:v>
      </x:c>
    </x:row>
    <x:row r="61">
      <x:c r="A61" s="79"/>
      <x:c r="C61" s="130" t="n">
        <x:v>0.05</x:v>
      </x:c>
      <x:c r="D61" s="564" t="n">
        <x:f>((D$102+D$104*$C61+D$56*D$106*(1-D$115)-D$105)/D$100)/D$101-1</x:f>
        <x:v>-0.02464844472717742</x:v>
      </x:c>
      <x:c r="E61" s="564" t="n">
        <x:f>((D$102+D$104*$C61+E$56*D$106*(1-D$115)-D$105)/D$100)/D$101-1</x:f>
        <x:v>-0.023477379344206906</x:v>
      </x:c>
      <x:c r="F61" s="564" t="n">
        <x:f>((D$102+D$104*$C61+F$56*D$106*(1-D$115)-D$105)/D$100)/D$101-1</x:f>
        <x:v>-0.021954994346345402</x:v>
      </x:c>
      <x:c r="G61" s="564" t="n">
        <x:f>((D$102+D$104*$C61+G$56*D$106*(1-D$115)-D$105)/D$100)/D$101-1</x:f>
        <x:v>-0.021135248578265875</x:v>
      </x:c>
      <x:c r="H61" s="564" t="n">
        <x:f>((D$102+D$104*$C61+H$56*D$106*(1-D$115)-D$105)/D$100)/D$101-1</x:f>
        <x:v>-0.01996418319529547</x:v>
      </x:c>
      <x:c r="I61"/>
      <x:c r="J61" s="130" t="n">
        <x:v>0.05</x:v>
      </x:c>
      <x:c r="K61" s="564" t="n">
        <x:f>((E$102+E$104*$J61+K$56*E$106*(1-E$115)-E$105)/E$100)/E$101-1</x:f>
        <x:v>-0.01594389185588929</x:v>
      </x:c>
      <x:c r="L61" s="564" t="n">
        <x:f>((E$102+E$104*$J61+L$56*E$106*(1-E$115)-E$105)/E$100)/E$101-1</x:f>
        <x:v>-0.011257806585868946</x:v>
      </x:c>
      <x:c r="M61" s="564" t="n">
        <x:f>((E$102+E$104*$J61+M$56*E$106*(1-E$115)-E$105)/E$100)/E$101-1</x:f>
        <x:v>-0.005165895734842718</x:v>
      </x:c>
      <x:c r="N61" s="564" t="n">
        <x:f>((E$102+E$104*$J61+N$56*E$106*(1-E$115)-E$105)/E$100)/E$101-1</x:f>
        <x:v>-0.001885636045828698</x:v>
      </x:c>
      <x:c r="O61" s="564" t="n">
        <x:f>((E$102+E$104*$J61+O$56*E$106*(1-E$115)-E$105)/E$100)/E$101-1</x:f>
        <x:v>0.002800449224191537</x:v>
      </x:c>
    </x:row>
    <x:row r="62">
      <x:c r="A62" s="79"/>
      <x:c r="C62" s="130" t="n">
        <x:v>0.1</x:v>
      </x:c>
      <x:c r="D62" s="564" t="n">
        <x:f>((D$102+D$104*$C62+D$56*D$106*(1-D$115)-D$105)/D$100)/D$101-1</x:f>
        <x:v>-0.023134504640281772</x:v>
      </x:c>
      <x:c r="E62" s="564" t="n">
        <x:f>((D$102+D$104*$C62+E$56*D$106*(1-D$115)-D$105)/D$100)/D$101-1</x:f>
        <x:v>-0.021963439257311257</x:v>
      </x:c>
      <x:c r="F62" s="564" t="n">
        <x:f>((D$102+D$104*$C62+F$56*D$106*(1-D$115)-D$105)/D$100)/D$101-1</x:f>
        <x:v>-0.020441054259449642</x:v>
      </x:c>
      <x:c r="G62" s="564" t="n">
        <x:f>((D$102+D$104*$C62+G$56*D$106*(1-D$115)-D$105)/D$100)/D$101-1</x:f>
        <x:v>-0.019621308491370115</x:v>
      </x:c>
      <x:c r="H62" s="564" t="n">
        <x:f>((D$102+D$104*$C62+H$56*D$106*(1-D$115)-D$105)/D$100)/D$101-1</x:f>
        <x:v>-0.0184502431083996</x:v>
      </x:c>
      <x:c r="I62"/>
      <x:c r="J62" s="130" t="n">
        <x:v>0.1</x:v>
      </x:c>
      <x:c r="K62" s="564" t="n">
        <x:f>((E$102+E$104*$J62+K$56*E$106*(1-E$115)-E$105)/E$100)/E$101-1</x:f>
        <x:v>-0.01277595107027818</x:v>
      </x:c>
      <x:c r="L62" s="564" t="n">
        <x:f>((E$102+E$104*$J62+L$56*E$106*(1-E$115)-E$105)/E$100)/E$101-1</x:f>
        <x:v>-0.008089865800258056</x:v>
      </x:c>
      <x:c r="M62" s="564" t="n">
        <x:f>((E$102+E$104*$J62+M$56*E$106*(1-E$115)-E$105)/E$100)/E$101-1</x:f>
        <x:v>-0.001997954949231606</x:v>
      </x:c>
      <x:c r="N62" s="564" t="n">
        <x:f>((E$102+E$104*$J62+N$56*E$106*(1-E$115)-E$105)/E$100)/E$101-1</x:f>
        <x:v>0.0012823047397823029</x:v>
      </x:c>
      <x:c r="O62" s="564" t="n">
        <x:f>((E$102+E$104*$J62+O$56*E$106*(1-E$115)-E$105)/E$100)/E$101-1</x:f>
        <x:v>0.005968390009802649</x:v>
      </x:c>
    </x:row>
    <x:row r="63">
      <x:c r="A63" s="79"/>
      <x:c r="C63"/>
      <x:c r="D63"/>
      <x:c r="E63"/>
      <x:c r="F63"/>
      <x:c r="G63"/>
      <x:c r="H63"/>
      <x:c r="I63"/>
      <x:c r="J63"/>
      <x:c r="K63"/>
      <x:c r="L63"/>
      <x:c r="M63"/>
    </x:row>
    <x:row r="64">
      <x:c r="A64" s="79"/>
      <x:c r="C64"/>
      <x:c r="D64"/>
      <x:c r="E64"/>
      <x:c r="F64"/>
      <x:c r="G64"/>
      <x:c r="H64"/>
      <x:c r="I64"/>
      <x:c r="J64"/>
      <x:c r="K64"/>
      <x:c r="L64"/>
      <x:c r="M64"/>
    </x:row>
    <x:row r="65">
      <x:c r="A65" s="79"/>
      <x:c r="C65"/>
      <x:c r="D65"/>
      <x:c r="E65"/>
      <x:c r="F65"/>
      <x:c r="G65"/>
      <x:c r="H65"/>
      <x:c r="I65"/>
      <x:c r="J65"/>
      <x:c r="K65"/>
      <x:c r="L65"/>
      <x:c r="M65"/>
    </x:row>
    <x:row r="66">
      <x:c r="A66" s="79"/>
      <x:c r="C66" s="550" t="str">
        <x:v>Closing date and synergies - FY2026</x:v>
      </x:c>
      <x:c r="D66" s="551"/>
      <x:c r="E66" s="551"/>
      <x:c r="F66" s="551"/>
      <x:c r="G66" s="551"/>
      <x:c r="H66" s="552"/>
      <x:c r="I66"/>
      <x:c r="J66" s="550" t="str">
        <x:v>Closing date and synergies - FY2027</x:v>
      </x:c>
      <x:c r="K66" s="551"/>
      <x:c r="L66" s="551"/>
      <x:c r="M66" s="551"/>
      <x:c r="N66" s="551"/>
      <x:c r="O66" s="552"/>
    </x:row>
    <x:row r="67">
      <x:c r="A67" s="79"/>
      <x:c r="C67"/>
      <x:c r="D67"/>
      <x:c r="E67"/>
      <x:c r="F67"/>
      <x:c r="G67"/>
      <x:c r="H67"/>
      <x:c r="I67"/>
      <x:c r="J67"/>
      <x:c r="K67"/>
      <x:c r="L67"/>
      <x:c r="M67"/>
    </x:row>
    <x:row r="68">
      <x:c r="A68" s="79"/>
      <x:c r="C68" s="557" t="str">
        <x:v>Synergies / closing date</x:v>
      </x:c>
      <x:c r="D68" s="566" t="n">
        <x:v>46023</x:v>
      </x:c>
      <x:c r="E68" s="566" t="n">
        <x:v>46112</x:v>
      </x:c>
      <x:c r="F68" s="566" t="n">
        <x:v>46203</x:v>
      </x:c>
      <x:c r="G68" s="566" t="n">
        <x:v>46295</x:v>
      </x:c>
      <x:c r="H68" s="566" t="n">
        <x:v>46387</x:v>
      </x:c>
      <x:c r="I68"/>
      <x:c r="J68" s="557" t="str">
        <x:v>Synergies / closing date</x:v>
      </x:c>
      <x:c r="K68" s="566" t="n">
        <x:v>46388</x:v>
      </x:c>
      <x:c r="L68" s="566" t="n">
        <x:v>46477</x:v>
      </x:c>
      <x:c r="M68" s="566" t="n">
        <x:v>46568</x:v>
      </x:c>
      <x:c r="N68" s="566" t="n">
        <x:v>46660</x:v>
      </x:c>
      <x:c r="O68" s="566" t="n">
        <x:v>46752</x:v>
      </x:c>
    </x:row>
    <x:row r="69">
      <x:c r="A69" s="79"/>
      <x:c r="C69"/>
      <x:c r="D69"/>
      <x:c r="E69"/>
      <x:c r="F69"/>
      <x:c r="G69"/>
      <x:c r="H69"/>
      <x:c r="I69"/>
      <x:c r="J69"/>
      <x:c r="K69"/>
      <x:c r="L69"/>
      <x:c r="M69"/>
    </x:row>
    <x:row r="70">
      <x:c r="A70" s="79"/>
      <x:c r="C70" t="n">
        <x:v>150</x:v>
      </x:c>
      <x:c r="D70" s="564" t="n">
        <x:f>(($D$99+($D$103-$D$105+$C70*$D$106*(1-$D$115))*1)/$D$100)/$D$101-1</x:f>
        <x:v>-0.026162384814073292</x:v>
      </x:c>
      <x:c r="E70" s="564" t="n">
        <x:f>(($D$99+($D$103-$D$105+$C70*$D$106*(1-$D$115))*0.7561643835616438)/$D$100)/$D$101-1</x:f>
        <x:v>-0.019783063585436134</x:v>
      </x:c>
      <x:c r="F70" s="564" t="n">
        <x:f>(($D$99+($D$103-$D$105+$C70*$D$106*(1-$D$115))*0.5068493150684932)/$D$100)/$D$101-1</x:f>
        <x:v>-0.013260386823571335</x:v>
      </x:c>
      <x:c r="G70" s="564" t="n">
        <x:f>(($D$99+($D$103-$D$105+$C70*$D$106*(1-$D$115))*0.2547945205479452)/$D$100)/$D$101-1</x:f>
        <x:v>-0.006666032295092661</x:v>
      </x:c>
      <x:c r="H70" s="564" t="n">
        <x:f>(($D$99+($D$103-$D$105+$C70*$D$106*(1-$D$115))*0)/$D$100)/$D$101-1</x:f>
        <x:v>0</x:v>
      </x:c>
      <x:c r="I70"/>
      <x:c r="J70" t="n">
        <x:v>150</x:v>
      </x:c>
      <x:c r="K70" s="564" t="n">
        <x:f>((E$99+(E$103-E$105+$J70*E$106*(1-E$115))*1)/E$100)/E$101-1</x:f>
        <x:v>-0.019111832641500293</x:v>
      </x:c>
      <x:c r="L70" s="564" t="n">
        <x:f>((E$99+(E$103-E$105+$J70*E$106*(1-E$115))*0.75)/E$100)/E$101-1</x:f>
        <x:v>-0.01433387448112522</x:v>
      </x:c>
      <x:c r="M70" s="564" t="n">
        <x:f>((E$99+(E$103-E$105+$J70*E$106*(1-E$115))*0.5)/E$100)/E$101-1</x:f>
        <x:v>-0.009555916320750146</x:v>
      </x:c>
      <x:c r="N70" s="564" t="n">
        <x:f>((E$99+(E$103-E$105+$J70*E$106*(1-E$115))*0.25)/E$100)/E$101-1</x:f>
        <x:v>-0.004777958160375073</x:v>
      </x:c>
      <x:c r="O70" s="564" t="n">
        <x:f>((E$99+(E$103-E$105+$J70*E$106*(1-E$115))*0)/E$100)/E$101-1</x:f>
        <x:v>0</x:v>
      </x:c>
    </x:row>
    <x:row r="71">
      <x:c r="A71" s="79"/>
      <x:c r="C71" t="n">
        <x:v>200</x:v>
      </x:c>
      <x:c r="D71" s="564" t="n">
        <x:f>(($D$99+($D$103-$D$105+$C71*$D$106*(1-$D$115))*1)/$D$100)/$D$101-1</x:f>
        <x:v>-0.024991319431102665</x:v>
      </x:c>
      <x:c r="E71" s="564" t="n">
        <x:f>(($D$99+($D$103-$D$105+$C71*$D$106*(1-$D$115))*0.7561643835616438)/$D$100)/$D$101-1</x:f>
        <x:v>-0.01889754565201185</x:v>
      </x:c>
      <x:c r="F71" s="564" t="n">
        <x:f>(($D$99+($D$103-$D$105+$C71*$D$106*(1-$D$115))*0.5068493150684932)/$D$100)/$D$101-1</x:f>
        <x:v>-0.012666833136312339</x:v>
      </x:c>
      <x:c r="G71" s="564" t="n">
        <x:f>(($D$99+($D$103-$D$105+$C71*$D$106*(1-$D$115))*0.2547945205479452)/$D$100)/$D$101-1</x:f>
        <x:v>-0.006367651252308426</x:v>
      </x:c>
      <x:c r="H71" s="564" t="n">
        <x:f>(($D$99+($D$103-$D$105+$C71*$D$106*(1-$D$115))*0)/$D$100)/$D$101-1</x:f>
        <x:v>0</x:v>
      </x:c>
      <x:c r="I71"/>
      <x:c r="J71" t="n">
        <x:v>200</x:v>
      </x:c>
      <x:c r="K71" s="564" t="n">
        <x:f>((E$99+(E$103-E$105+$J71*E$106*(1-E$115))*1)/E$100)/E$101-1</x:f>
        <x:v>-0.014425747371480169</x:v>
      </x:c>
      <x:c r="L71" s="564" t="n">
        <x:f>((E$99+(E$103-E$105+$J71*E$106*(1-E$115))*0.75)/E$100)/E$101-1</x:f>
        <x:v>-0.010819310528610071</x:v>
      </x:c>
      <x:c r="M71" s="564" t="n">
        <x:f>((E$99+(E$103-E$105+$J71*E$106*(1-E$115))*0.5)/E$100)/E$101-1</x:f>
        <x:v>-0.007212873685739973</x:v>
      </x:c>
      <x:c r="N71" s="564" t="n">
        <x:f>((E$99+(E$103-E$105+$J71*E$106*(1-E$115))*0.25)/E$100)/E$101-1</x:f>
        <x:v>-0.0036064368428699867</x:v>
      </x:c>
      <x:c r="O71" s="564" t="n">
        <x:f>((E$99+(E$103-E$105+$J71*E$106*(1-E$115))*0)/E$100)/E$101-1</x:f>
        <x:v>0</x:v>
      </x:c>
    </x:row>
    <x:row r="72">
      <x:c r="A72" s="79"/>
      <x:c r="C72" t="n">
        <x:v>265</x:v>
      </x:c>
      <x:c r="D72" s="564" t="n">
        <x:f>(($D$99+($D$103-$D$105+$C72*$D$106*(1-$D$115))*1)/$D$100)/$D$101-1</x:f>
        <x:v>-0.02346893443324094</x:v>
      </x:c>
      <x:c r="E72" s="564" t="n">
        <x:f>(($D$99+($D$103-$D$105+$C72*$D$106*(1-$D$115))*0.7561643835616438)/$D$100)/$D$101-1</x:f>
        <x:v>-0.017746372338560357</x:v>
      </x:c>
      <x:c r="F72" s="564" t="n">
        <x:f>'Accretion-Dilution'!D17</x:f>
        <x:v>-0.02346893443324094</x:v>
      </x:c>
      <x:c r="G72" s="564" t="n">
        <x:f>(($D$99+($D$103-$D$105+$C72*$D$106*(1-$D$115))*0.2547945205479452)/$D$100)/$D$101-1</x:f>
        <x:v>-0.005979755896688865</x:v>
      </x:c>
      <x:c r="H72" s="564" t="n">
        <x:f>(($D$99+($D$103-$D$105+$C72*$D$106*(1-$D$115))*0)/$D$100)/$D$101-1</x:f>
        <x:v>0</x:v>
      </x:c>
      <x:c r="I72"/>
      <x:c r="J72" t="n">
        <x:v>265</x:v>
      </x:c>
      <x:c r="K72" s="564" t="n">
        <x:f>((E$99+(E$103-E$105+$J72*E$106*(1-E$115))*1)/E$100)/E$101-1</x:f>
        <x:v>-0.00833383652045383</x:v>
      </x:c>
      <x:c r="L72" s="564" t="n">
        <x:f>((E$99+(E$103-E$105+$J72*E$106*(1-E$115))*0.75)/E$100)/E$101-1</x:f>
        <x:v>-0.0062503773903404</x:v>
      </x:c>
      <x:c r="M72" s="564" t="n">
        <x:f>((E$99+(E$103-E$105+$J72*E$106*(1-E$115))*0.5)/E$100)/E$101-1</x:f>
        <x:v>-0.0041669182602268595</x:v>
      </x:c>
      <x:c r="N72" s="564" t="n">
        <x:f>((E$99+(E$103-E$105+$J72*E$106*(1-E$115))*0.25)/E$100)/E$101-1</x:f>
        <x:v>-0.0020834591301134298</x:v>
      </x:c>
      <x:c r="O72" s="564" t="n">
        <x:f>((E$99+(E$103-E$105+$J72*E$106*(1-E$115))*0)/E$100)/E$101-1</x:f>
        <x:v>0</x:v>
      </x:c>
    </x:row>
    <x:row r="73">
      <x:c r="A73" s="79"/>
      <x:c r="C73" t="n">
        <x:v>300</x:v>
      </x:c>
      <x:c r="D73" s="564" t="n">
        <x:f>(($D$99+($D$103-$D$105+$C73*$D$106*(1-$D$115))*1)/$D$100)/$D$101-1</x:f>
        <x:v>-0.022649188665161635</x:v>
      </x:c>
      <x:c r="E73" s="564" t="n">
        <x:f>(($D$99+($D$103-$D$105+$C73*$D$106*(1-$D$115))*0.7561643835616438)/$D$100)/$D$101-1</x:f>
        <x:v>-0.01712650978516328</x:v>
      </x:c>
      <x:c r="F73" s="564" t="n">
        <x:f>(($D$99+($D$103-$D$105+$C73*$D$106*(1-$D$115))*0.5068493150684932)/$D$100)/$D$101-1</x:f>
        <x:v>-0.011479725761794235</x:v>
      </x:c>
      <x:c r="G73" s="564" t="n">
        <x:f>(($D$99+($D$103-$D$105+$C73*$D$106*(1-$D$115))*0.2547945205479452)/$D$100)/$D$101-1</x:f>
        <x:v>-0.005770889166739845</x:v>
      </x:c>
      <x:c r="H73" s="564" t="n">
        <x:f>(($D$99+($D$103-$D$105+$C73*$D$106*(1-$D$115))*0)/$D$100)/$D$101-1</x:f>
        <x:v>0</x:v>
      </x:c>
      <x:c r="I73"/>
      <x:c r="J73" t="n">
        <x:v>300</x:v>
      </x:c>
      <x:c r="K73" s="564" t="n">
        <x:f>((E$99+(E$103-E$105+$J73*E$106*(1-E$115))*1)/E$100)/E$101-1</x:f>
        <x:v>-0.005053576831439699</x:v>
      </x:c>
      <x:c r="L73" s="564" t="n">
        <x:f>((E$99+(E$103-E$105+$J73*E$106*(1-E$115))*0.75)/E$100)/E$101-1</x:f>
        <x:v>-0.0037901826235798852</x:v>
      </x:c>
      <x:c r="M73" s="564" t="n">
        <x:f>((E$99+(E$103-E$105+$J73*E$106*(1-E$115))*0.5)/E$100)/E$101-1</x:f>
        <x:v>-0.0025267884157198495</x:v>
      </x:c>
      <x:c r="N73" s="564" t="n">
        <x:f>((E$99+(E$103-E$105+$J73*E$106*(1-E$115))*0.25)/E$100)/E$101-1</x:f>
        <x:v>-0.0012633942078600358</x:v>
      </x:c>
      <x:c r="O73" s="564" t="n">
        <x:f>((E$99+(E$103-E$105+$J73*E$106*(1-E$115))*0)/E$100)/E$101-1</x:f>
        <x:v>0</x:v>
      </x:c>
    </x:row>
    <x:row r="74">
      <x:c r="A74" s="79"/>
      <x:c r="C74" t="n">
        <x:v>350</x:v>
      </x:c>
      <x:c r="D74" s="564" t="n">
        <x:f>(($D$99+($D$103-$D$105+$C74*$D$106*(1-$D$115))*1)/$D$100)/$D$101-1</x:f>
        <x:v>-0.02147812328219101</x:v>
      </x:c>
      <x:c r="E74" s="564" t="n">
        <x:f>(($D$99+($D$103-$D$105+$C74*$D$106*(1-$D$115))*0.7561643835616438)/$D$100)/$D$101-1</x:f>
        <x:v>-0.016240991851738995</x:v>
      </x:c>
      <x:c r="F74" s="564" t="n">
        <x:f>(($D$99+($D$103-$D$105+$C74*$D$106*(1-$D$115))*0.5068493150684932)/$D$100)/$D$101-1</x:f>
        <x:v>-0.010886172074535239</x:v>
      </x:c>
      <x:c r="G74" s="564" t="n">
        <x:f>(($D$99+($D$103-$D$105+$C74*$D$106*(1-$D$115))*0.2547945205479452)/$D$100)/$D$101-1</x:f>
        <x:v>-0.0054725081239555</x:v>
      </x:c>
      <x:c r="H74" s="564" t="n">
        <x:f>(($D$99+($D$103-$D$105+$C74*$D$106*(1-$D$115))*0)/$D$100)/$D$101-1</x:f>
        <x:v>0</x:v>
      </x:c>
      <x:c r="I74"/>
      <x:c r="J74" t="n">
        <x:v>350</x:v>
      </x:c>
      <x:c r="K74" s="564" t="n">
        <x:f>((E$99+(E$103-E$105+$J74*E$106*(1-E$115))*1)/E$100)/E$101-1</x:f>
        <x:v>-0.00036749156141957506</x:v>
      </x:c>
      <x:c r="L74" s="564" t="n">
        <x:f>((E$99+(E$103-E$105+$J74*E$106*(1-E$115))*0.75)/E$100)/E$101-1</x:f>
        <x:v>-0.0002756186710647368</x:v>
      </x:c>
      <x:c r="M74" s="564" t="n">
        <x:f>((E$99+(E$103-E$105+$J74*E$106*(1-E$115))*0.5)/E$100)/E$101-1</x:f>
        <x:v>-0.0001837457807096765</x:v>
      </x:c>
      <x:c r="N74" s="564" t="n">
        <x:f>((E$99+(E$103-E$105+$J74*E$106*(1-E$115))*0.25)/E$100)/E$101-1</x:f>
        <x:v>-0.00009187289035494928</x:v>
      </x:c>
      <x:c r="O74" s="564" t="n">
        <x:f>((E$99+(E$103-E$105+$J74*E$106*(1-E$115))*0)/E$100)/E$101-1</x:f>
        <x:v>0</x:v>
      </x:c>
    </x:row>
    <x:row r="75">
      <x:c r="A75" s="79"/>
      <x:c r="C75"/>
      <x:c r="D75"/>
      <x:c r="E75"/>
      <x:c r="F75"/>
      <x:c r="G75"/>
      <x:c r="H75"/>
      <x:c r="I75"/>
      <x:c r="J75"/>
      <x:c r="K75"/>
      <x:c r="L75"/>
      <x:c r="M75"/>
    </x:row>
    <x:row r="76">
      <x:c r="A76" s="79"/>
      <x:c r="C76"/>
      <x:c r="D76"/>
      <x:c r="E76"/>
      <x:c r="F76"/>
      <x:c r="G76"/>
      <x:c r="H76"/>
      <x:c r="I76"/>
      <x:c r="J76"/>
      <x:c r="K76"/>
      <x:c r="L76"/>
      <x:c r="M76"/>
    </x:row>
    <x:row r="77">
      <x:c r="A77" s="79"/>
      <x:c r="C77"/>
      <x:c r="D77"/>
      <x:c r="E77"/>
      <x:c r="F77"/>
      <x:c r="G77"/>
      <x:c r="H77"/>
      <x:c r="I77"/>
      <x:c r="J77"/>
      <x:c r="K77"/>
      <x:c r="L77"/>
      <x:c r="M77"/>
    </x:row>
    <x:row r="78">
      <x:c r="A78" s="79"/>
      <x:c r="C78" s="550" t="str">
        <x:v>Breakeven analysis</x:v>
      </x:c>
      <x:c r="D78" s="551"/>
      <x:c r="E78" s="551"/>
      <x:c r="F78" s="551"/>
      <x:c r="G78" s="551"/>
      <x:c r="H78" s="552"/>
      <x:c r="I78"/>
      <x:c r="J78"/>
      <x:c r="K78"/>
      <x:c r="L78"/>
      <x:c r="M78"/>
    </x:row>
    <x:row r="79">
      <x:c r="A79" s="79"/>
      <x:c r="C79"/>
      <x:c r="D79"/>
      <x:c r="E79"/>
      <x:c r="F79"/>
      <x:c r="G79"/>
      <x:c r="H79"/>
      <x:c r="I79"/>
      <x:c r="J79"/>
      <x:c r="K79"/>
      <x:c r="L79"/>
      <x:c r="M79"/>
    </x:row>
    <x:row r="80">
      <x:c r="A80" s="79"/>
      <x:c r="C80" s="557" t="str">
        <x:v>Metric</x:v>
      </x:c>
      <x:c r="D80" s="557" t="str">
        <x:v>FY:26E</x:v>
      </x:c>
      <x:c r="E80" s="557" t="str">
        <x:v>FY:27E</x:v>
      </x:c>
      <x:c r="F80" s="557" t="str">
        <x:v>Method</x:v>
      </x:c>
      <x:c r="G80"/>
      <x:c r="H80"/>
      <x:c r="I80"/>
      <x:c r="J80"/>
      <x:c r="K80"/>
      <x:c r="L80"/>
      <x:c r="M80"/>
    </x:row>
    <x:row r="81">
      <x:c r="A81" s="79"/>
      <x:c r="C81" t="str">
        <x:v>Maximum offer price before dilution</x:v>
      </x:c>
      <x:c r="D81" s="561" t="n">
        <x:f>'Accretion-Dilution'!D62</x:f>
        <x:v>52.34615341306623</x:v>
      </x:c>
      <x:c r="E81" s="561" t="n">
        <x:f>'Accretion-Dilution'!E62</x:f>
        <x:v>62.14514140865754</x:v>
      </x:c>
      <x:c r="F81" s="546" t="str">
        <x:v>Linearized price-cost relationship</x:v>
      </x:c>
      <x:c r="G81"/>
      <x:c r="H81"/>
      <x:c r="I81"/>
      <x:c r="J81"/>
      <x:c r="K81"/>
      <x:c r="L81"/>
      <x:c r="M81"/>
    </x:row>
    <x:row r="82">
      <x:c r="A82" s="79"/>
      <x:c r="C82" t="str">
        <x:v>Minimum pre-tax synergies for neutral EPS</x:v>
      </x:c>
      <x:c r="D82" s="558" t="n">
        <x:f>'Accretion-Dilution'!D61</x:f>
        <x:v>224.76826812685607</x:v>
      </x:c>
      <x:c r="E82" s="558" t="n">
        <x:f>'Accretion-Dilution'!E61</x:f>
        <x:v>265.44082005750124</x:v>
      </x:c>
      <x:c r="F82" s="546" t="str">
        <x:v>Main-model EPS breakeven</x:v>
      </x:c>
      <x:c r="G82"/>
      <x:c r="H82"/>
      <x:c r="I82"/>
      <x:c r="J82"/>
      <x:c r="K82"/>
      <x:c r="L82"/>
      <x:c r="M82"/>
    </x:row>
    <x:row r="83">
      <x:c r="A83" s="79"/>
      <x:c r="C83" t="str">
        <x:v>Maximum debt interest rate before dilution</x:v>
      </x:c>
      <x:c r="D83" s="559" t="n">
        <x:f>MAX(0,D127+D103/(D107*(1-D115)))</x:f>
        <x:v>0.036073949423974155</x:v>
      </x:c>
      <x:c r="E83" s="559" t="n">
        <x:f>MAX(0,E127+E103/(E107*(1-E115)))</x:f>
        <x:v>0.049025200089256336</x:v>
      </x:c>
      <x:c r="F83" s="546" t="str">
        <x:v>Average-debt interest sensitivity</x:v>
      </x:c>
      <x:c r="G83"/>
      <x:c r="H83"/>
      <x:c r="I83"/>
      <x:c r="J83"/>
      <x:c r="K83"/>
      <x:c r="L83"/>
      <x:c r="M83"/>
    </x:row>
    <x:row r="84">
      <x:c r="A84" s="79"/>
      <x:c r="C84" t="str">
        <x:v>Maximum stock consideration before dilution</x:v>
      </x:c>
      <x:c r="D84" s="559" t="n">
        <x:f>MAX(0,MIN(1,-D103/(D112*((D108*D109+D117/D118)*(1-D115)-D101/D123))))</x:f>
        <x:v>0</x:v>
      </x:c>
      <x:c r="E84" s="559" t="n">
        <x:f>MAX(0,MIN(1,-E103/(E112*((E108*E109+E117/E118)*(1-E115)-E101/E123))))</x:f>
        <x:v>0</x:v>
      </x:c>
      <x:c r="F84" s="546" t="str">
        <x:v>Debt reduction versus share dilution</x:v>
      </x:c>
      <x:c r="G84"/>
      <x:c r="H84"/>
      <x:c r="I84"/>
      <x:c r="J84"/>
      <x:c r="K84"/>
      <x:c r="L84"/>
      <x:c r="M84"/>
    </x:row>
    <x:row r="85">
      <x:c r="A85" s="79"/>
      <x:c r="C85"/>
      <x:c r="D85"/>
      <x:c r="E85"/>
      <x:c r="F85"/>
      <x:c r="G85"/>
      <x:c r="H85"/>
      <x:c r="I85"/>
      <x:c r="J85"/>
      <x:c r="K85"/>
      <x:c r="L85"/>
      <x:c r="M85"/>
    </x:row>
    <x:row r="86">
      <x:c r="A86" s="79"/>
      <x:c r="C86"/>
      <x:c r="D86"/>
      <x:c r="E86"/>
      <x:c r="F86"/>
      <x:c r="G86"/>
      <x:c r="H86"/>
      <x:c r="I86"/>
      <x:c r="J86"/>
      <x:c r="K86"/>
      <x:c r="L86"/>
      <x:c r="M86"/>
    </x:row>
    <x:row r="87">
      <x:c r="A87" s="79"/>
      <x:c r="C87" s="550" t="str">
        <x:v>Selected observations</x:v>
      </x:c>
      <x:c r="D87" s="551"/>
      <x:c r="E87" s="551"/>
      <x:c r="F87" s="551"/>
      <x:c r="G87" s="551"/>
      <x:c r="H87" s="552"/>
      <x:c r="I87"/>
      <x:c r="J87"/>
      <x:c r="K87"/>
      <x:c r="L87"/>
      <x:c r="M87"/>
    </x:row>
    <x:row r="88">
      <x:c r="A88" s="79"/>
      <x:c r="C88"/>
      <x:c r="D88"/>
      <x:c r="E88"/>
      <x:c r="F88"/>
      <x:c r="G88"/>
      <x:c r="H88"/>
      <x:c r="I88"/>
      <x:c r="J88"/>
      <x:c r="K88"/>
      <x:c r="L88"/>
      <x:c r="M88"/>
    </x:row>
    <x:row r="89">
      <x:c r="A89" s="79"/>
      <x:c r="C89" s="557" t="str">
        <x:v>Metric</x:v>
      </x:c>
      <x:c r="D89" s="557" t="str">
        <x:v>FY:26E</x:v>
      </x:c>
      <x:c r="E89" s="557" t="str">
        <x:v>FY:27E</x:v>
      </x:c>
      <x:c r="F89" s="557" t="str">
        <x:v>Interpretation</x:v>
      </x:c>
      <x:c r="G89"/>
      <x:c r="H89"/>
      <x:c r="I89"/>
      <x:c r="J89"/>
      <x:c r="K89"/>
      <x:c r="L89"/>
      <x:c r="M89"/>
    </x:row>
    <x:row r="90">
      <x:c r="A90" s="79"/>
      <x:c r="C90" t="str">
        <x:v>Base-case EPS accretion / (dilution)</x:v>
      </x:c>
      <x:c r="D90" s="559" t="n">
        <x:f>'Accretion-Dilution'!D17</x:f>
        <x:v>-0.02346893443324094</x:v>
      </x:c>
      <x:c r="E90" s="559" t="n">
        <x:f>'Accretion-Dilution'!E17</x:f>
        <x:v>-0.00833383652045383</x:v>
      </x:c>
      <x:c r="F90" s="546" t="str">
        <x:v>Main-model output</x:v>
      </x:c>
      <x:c r="G90"/>
      <x:c r="H90"/>
      <x:c r="I90"/>
      <x:c r="J90"/>
      <x:c r="K90"/>
      <x:c r="L90"/>
      <x:c r="M90"/>
    </x:row>
    <x:row r="91">
      <x:c r="A91" s="79"/>
      <x:c r="C91" t="str">
        <x:v>40% premium / $150m synergies</x:v>
      </x:c>
      <x:c r="D91" s="559" t="n">
        <x:f>H10</x:f>
        <x:v>-0.03365404174207154</x:v>
      </x:c>
      <x:c r="E91" s="559" t="n">
        <x:f>O10</x:f>
        <x:v>-0.02559451877771024</x:v>
      </x:c>
      <x:c r="F91" s="546" t="str">
        <x:v>High premium and low synergy</x:v>
      </x:c>
      <x:c r="G91"/>
      <x:c r="H91"/>
      <x:c r="I91"/>
      <x:c r="J91"/>
      <x:c r="K91"/>
      <x:c r="L91"/>
      <x:c r="M91"/>
    </x:row>
    <x:row r="92">
      <x:c r="A92" s="79"/>
      <x:c r="C92" t="str">
        <x:v>7.0% debt rate / $150m synergies</x:v>
      </x:c>
      <x:c r="D92" s="559" t="n">
        <x:f>D26</x:f>
        <x:v>-0.03985420726985334</x:v>
      </x:c>
      <x:c r="E92" s="559" t="n">
        <x:f>K26</x:f>
        <x:v>-0.03140391712760271</x:v>
      </x:c>
      <x:c r="F92" s="546" t="str">
        <x:v>Higher financing cost and low synergy</x:v>
      </x:c>
      <x:c r="G92"/>
      <x:c r="H92"/>
      <x:c r="I92"/>
      <x:c r="J92"/>
      <x:c r="K92"/>
      <x:c r="L92"/>
      <x:c r="M92"/>
    </x:row>
    <x:row r="93">
      <x:c r="A93" s="79"/>
      <x:c r="C93" t="str">
        <x:v>Full-year close / $265m synergies</x:v>
      </x:c>
      <x:c r="D93" s="559" t="n">
        <x:f>D72</x:f>
        <x:v>-0.02346893443324094</x:v>
      </x:c>
      <x:c r="E93" s="559" t="n">
        <x:f>K72</x:f>
        <x:v>-0.00833383652045383</x:v>
      </x:c>
      <x:c r="F93" s="546" t="str">
        <x:v>Base premium and synergy</x:v>
      </x:c>
      <x:c r="G93"/>
      <x:c r="H93"/>
      <x:c r="I93"/>
      <x:c r="J93"/>
      <x:c r="K93"/>
      <x:c r="L93"/>
      <x:c r="M93"/>
    </x:row>
    <x:row r="94">
      <x:c r="A94" s="79"/>
      <x:c r="C94"/>
      <x:c r="D94"/>
      <x:c r="E94"/>
      <x:c r="F94"/>
      <x:c r="G94"/>
      <x:c r="H94"/>
      <x:c r="I94"/>
      <x:c r="J94"/>
      <x:c r="K94"/>
      <x:c r="L94"/>
      <x:c r="M94"/>
    </x:row>
    <x:row r="95">
      <x:c r="A95" s="79"/>
      <x:c r="C95"/>
      <x:c r="D95"/>
      <x:c r="E95"/>
      <x:c r="F95"/>
      <x:c r="G95"/>
      <x:c r="H95"/>
      <x:c r="I95"/>
      <x:c r="J95"/>
      <x:c r="K95"/>
      <x:c r="L95"/>
      <x:c r="M95"/>
    </x:row>
    <x:row r="96">
      <x:c r="A96" s="79"/>
      <x:c r="C96" s="550" t="str">
        <x:v>Sensitivity mechanics</x:v>
      </x:c>
      <x:c r="D96" s="551"/>
      <x:c r="E96" s="551"/>
      <x:c r="F96" s="551"/>
      <x:c r="G96" s="552"/>
      <x:c r="H96"/>
      <x:c r="I96"/>
      <x:c r="J96"/>
      <x:c r="K96"/>
      <x:c r="L96"/>
      <x:c r="M96"/>
    </x:row>
    <x:row r="97">
      <x:c r="A97" s="79"/>
      <x:c r="C97"/>
      <x:c r="D97"/>
      <x:c r="E97"/>
      <x:c r="F97"/>
      <x:c r="G97"/>
      <x:c r="H97"/>
      <x:c r="I97"/>
      <x:c r="J97"/>
      <x:c r="K97"/>
      <x:c r="L97"/>
      <x:c r="M97"/>
    </x:row>
    <x:row r="98">
      <x:c r="A98" s="79"/>
      <x:c r="C98" s="557" t="str">
        <x:v>Metric</x:v>
      </x:c>
      <x:c r="D98" s="557" t="str">
        <x:v>FY:26E</x:v>
      </x:c>
      <x:c r="E98" s="557" t="str">
        <x:v>FY:27E</x:v>
      </x:c>
      <x:c r="F98" s="557" t="str">
        <x:v>Source / status</x:v>
      </x:c>
      <x:c r="G98"/>
      <x:c r="H98"/>
      <x:c r="I98"/>
      <x:c r="J98"/>
      <x:c r="K98"/>
      <x:c r="L98"/>
      <x:c r="M98"/>
    </x:row>
    <x:row r="99">
      <x:c r="A99" s="79"/>
      <x:c r="C99" t="str">
        <x:v>Buyer standalone net income</x:v>
      </x:c>
      <x:c r="D99" s="558" t="n">
        <x:f>'Pro Forma Income Statement'!D25</x:f>
        <x:v>5832.12058</x:v>
      </x:c>
      <x:c r="E99" s="558" t="n">
        <x:f>'Pro Forma Income Statement'!E25</x:f>
        <x:v>6161.8597051</x:v>
      </x:c>
      <x:c r="F99" s="252" t="str">
        <x:v>Pro Forma Income Statement</x:v>
      </x:c>
      <x:c r="G99"/>
      <x:c r="H99"/>
      <x:c r="I99"/>
      <x:c r="J99"/>
      <x:c r="K99"/>
      <x:c r="L99"/>
      <x:c r="M99"/>
    </x:row>
    <x:row r="100">
      <x:c r="A100" s="79"/>
      <x:c r="C100" t="str">
        <x:v>Buyer standalone diluted shares</x:v>
      </x:c>
      <x:c r="D100" s="560" t="n">
        <x:f>'Pro Forma Income Statement'!D35</x:f>
        <x:v>844.755</x:v>
      </x:c>
      <x:c r="E100" s="560" t="n">
        <x:f>'Pro Forma Income Statement'!E35</x:f>
        <x:v>840.531225</x:v>
      </x:c>
      <x:c r="F100" s="252" t="str">
        <x:v>Pro Forma Income Statement</x:v>
      </x:c>
      <x:c r="G100"/>
      <x:c r="H100"/>
      <x:c r="I100"/>
      <x:c r="J100"/>
      <x:c r="K100"/>
      <x:c r="L100"/>
      <x:c r="M100"/>
    </x:row>
    <x:row r="101">
      <x:c r="C101" t="str">
        <x:v>Buyer standalone EPS</x:v>
      </x:c>
      <x:c r="D101" s="561" t="n">
        <x:f>'Pro Forma Income Statement'!D38</x:f>
        <x:v>6.903919574314446</x:v>
      </x:c>
      <x:c r="E101" s="561" t="n">
        <x:f>'Pro Forma Income Statement'!E38</x:f>
        <x:v>7.330911121237643</x:v>
      </x:c>
      <x:c r="F101" s="252" t="str">
        <x:v>Pro Forma Income Statement</x:v>
      </x:c>
    </x:row>
    <x:row r="102">
      <x:c r="C102" t="str">
        <x:v>Base pro forma net income</x:v>
      </x:c>
      <x:c r="D102" s="558" t="n">
        <x:f>'Pro Forma Income Statement'!D33</x:f>
        <x:v>5695.246924501224</x:v>
      </x:c>
      <x:c r="E102" s="558" t="n">
        <x:f>'Pro Forma Income Statement'!E33</x:f>
        <x:v>6110.507773655724</x:v>
      </x:c>
      <x:c r="F102" s="252" t="str">
        <x:v>Pro Forma Income Statement</x:v>
      </x:c>
    </x:row>
    <x:row r="103">
      <x:c r="C103" t="str">
        <x:v>Base transaction net-income contribution</x:v>
      </x:c>
      <x:c r="D103" s="558" t="n">
        <x:f>'Pro Forma Income Statement'!D34</x:f>
        <x:v>-136.8736554987754</x:v>
      </x:c>
      <x:c r="E103" s="558" t="n">
        <x:f>'Pro Forma Income Statement'!E34</x:f>
        <x:v>-51.35193144427558</x:v>
      </x:c>
      <x:c r="F103" s="252" t="str">
        <x:v>Pro Forma Income Statement</x:v>
      </x:c>
    </x:row>
    <x:row r="104">
      <x:c r="C104" t="str">
        <x:v>Base target net income</x:v>
      </x:c>
      <x:c r="D104" s="558" t="n">
        <x:f>'Pro Forma Income Statement'!D26</x:f>
        <x:v>176.58962275342466</x:v>
      </x:c>
      <x:c r="E104" s="558" t="n">
        <x:f>'Pro Forma Income Statement'!E26</x:f>
        <x:v>390.40813349999996</x:v>
      </x:c>
      <x:c r="F104" s="252" t="str">
        <x:v>Pro Forma Income Statement</x:v>
      </x:c>
    </x:row>
    <x:row r="105">
      <x:c r="C105" t="str">
        <x:v>Base after-tax synergies</x:v>
      </x:c>
      <x:c r="D105" s="558" t="n">
        <x:f>'Pro Forma Income Statement'!D27</x:f>
        <x:v>36.19791095890411</x:v>
      </x:c>
      <x:c r="E105" s="558" t="n">
        <x:f>'Pro Forma Income Statement'!E27</x:f>
        <x:v>153.0375</x:v>
      </x:c>
      <x:c r="F105" s="252" t="str">
        <x:v>Pro Forma Income Statement</x:v>
      </x:c>
    </x:row>
    <x:row r="106">
      <x:c r="C106" t="str">
        <x:v>Synergy phase-in</x:v>
      </x:c>
      <x:c r="D106" s="559" t="n">
        <x:f>'Transaction Assumptions'!$D$27*'Pro Forma Income Statement'!$D$20</x:f>
        <x:v>0.1773972602739726</x:v>
      </x:c>
      <x:c r="E106" s="559" t="n">
        <x:f>'Transaction Assumptions'!$D$28</x:f>
        <x:v>0.75</x:v>
      </x:c>
      <x:c r="F106" s="252" t="str">
        <x:v>Transaction Assumptions</x:v>
      </x:c>
    </x:row>
    <x:row r="107">
      <x:c r="C107" t="str">
        <x:v>Average acquisition debt</x:v>
      </x:c>
      <x:c r="D107" s="558" t="n">
        <x:f>'Financing'!E14</x:f>
        <x:v>8296.349041253163</x:v>
      </x:c>
      <x:c r="E107" s="558" t="n">
        <x:f>'Financing'!F14</x:f>
        <x:v>7869.309099906363</x:v>
      </x:c>
      <x:c r="F107" s="252" t="str">
        <x:v>Financing</x:v>
      </x:c>
    </x:row>
    <x:row r="108">
      <x:c r="C108" t="str">
        <x:v>Debt retention factor</x:v>
      </x:c>
      <x:c r="D108" s="559" t="n">
        <x:f>D107/'Sources &amp; Uses'!$D$19</x:f>
        <x:v>0.975</x:v>
      </x:c>
      <x:c r="E108" s="559" t="n">
        <x:f>E107/'Sources &amp; Uses'!$D$19</x:f>
        <x:v>0.9248135938178611</x:v>
      </x:c>
      <x:c r="F108" s="252" t="str">
        <x:v>Calculated</x:v>
      </x:c>
    </x:row>
    <x:row r="109">
      <x:c r="C109" t="str">
        <x:v>Weighted cash interest rate</x:v>
      </x:c>
      <x:c r="D109" s="559" t="n">
        <x:f>'Financing'!E42</x:f>
        <x:v>0.057564102564102555</x:v>
      </x:c>
      <x:c r="E109" s="559" t="n">
        <x:f>'Financing'!F42</x:f>
        <x:v>0.057702239657586044</x:v>
      </x:c>
      <x:c r="F109" s="252" t="str">
        <x:v>Financing</x:v>
      </x:c>
    </x:row>
    <x:row r="110">
      <x:c r="C110" t="str">
        <x:v>Base after-tax acquisition financing cost</x:v>
      </x:c>
      <x:c r="D110" s="558" t="n">
        <x:f>'Financing'!E17</x:f>
        <x:v>384.1103242650967</x:v>
      </x:c>
      <x:c r="E110" s="558" t="n">
        <x:f>'Financing'!F17</x:f>
        <x:v>366.0190760932758</x:v>
      </x:c>
      <x:c r="F110" s="252" t="str">
        <x:v>Financing</x:v>
      </x:c>
    </x:row>
    <x:row r="111">
      <x:c r="C111" t="str">
        <x:v>Base after-tax purchase-accounting expense</x:v>
      </x:c>
      <x:c r="D111" s="558" t="n">
        <x:f>'Purchase Accounting'!F42</x:f>
        <x:v>193.53425174599997</x:v>
      </x:c>
      <x:c r="E111" s="558" t="n">
        <x:f>'Purchase Accounting'!G42</x:f>
        <x:v>162.462238851</x:v>
      </x:c>
      <x:c r="F111" s="252" t="str">
        <x:v>Purchase Accounting</x:v>
      </x:c>
    </x:row>
    <x:row r="112">
      <x:c r="C112" t="str">
        <x:v>Equity purchase price</x:v>
      </x:c>
      <x:c r="D112" s="558" t="n">
        <x:f>'Transaction Valuation'!$D$16</x:f>
        <x:v>8070.6527</x:v>
      </x:c>
      <x:c r="E112" s="558" t="n">
        <x:f>'Transaction Valuation'!$D$16</x:f>
        <x:v>8070.6527</x:v>
      </x:c>
      <x:c r="F112" s="252" t="str">
        <x:v>Transaction Valuation</x:v>
      </x:c>
    </x:row>
    <x:row r="113">
      <x:c r="C113" t="str">
        <x:v>New acquisition debt</x:v>
      </x:c>
      <x:c r="D113" s="558" t="n">
        <x:f>'Sources &amp; Uses'!$D$19</x:f>
        <x:v>8509.075939746834</x:v>
      </x:c>
      <x:c r="E113" s="558" t="n">
        <x:f>'Sources &amp; Uses'!$D$19</x:f>
        <x:v>8509.075939746834</x:v>
      </x:c>
      <x:c r="F113" s="252" t="str">
        <x:v>Sources &amp; Uses</x:v>
      </x:c>
    </x:row>
    <x:row r="114">
      <x:c r="C114" t="str">
        <x:v>Marginal price-related after-tax cost per $1</x:v>
      </x:c>
      <x:c r="D114" s="559" t="n">
        <x:f>'Accretion-Dilution'!D74</x:f>
        <x:v>0.07037834810126581</x:v>
      </x:c>
      <x:c r="E114" s="559" t="n">
        <x:f>'Accretion-Dilution'!E74</x:f>
        <x:v>0.06434302795433007</x:v>
      </x:c>
      <x:c r="F114" s="252" t="str">
        <x:v>Accretion-Dilution</x:v>
      </x:c>
    </x:row>
    <x:row r="115">
      <x:c r="C115" t="str">
        <x:v>Effective tax rate</x:v>
      </x:c>
      <x:c r="D115" s="559" t="n">
        <x:f>'Transaction Assumptions'!$D$24</x:f>
        <x:v>0.23</x:v>
      </x:c>
      <x:c r="E115" s="559" t="n">
        <x:f>'Transaction Assumptions'!$D$24</x:f>
        <x:v>0.23</x:v>
      </x:c>
      <x:c r="F115" s="252" t="str">
        <x:v>A07</x:v>
      </x:c>
    </x:row>
    <x:row r="116">
      <x:c r="C116" t="str">
        <x:v>Transaction fee rate</x:v>
      </x:c>
      <x:c r="D116" s="559" t="n">
        <x:f>'Transaction Assumptions'!$D$20</x:f>
        <x:v>0.015</x:v>
      </x:c>
      <x:c r="E116" s="559" t="n">
        <x:f>'Transaction Assumptions'!$D$20</x:f>
        <x:v>0.015</x:v>
      </x:c>
      <x:c r="F116" s="252" t="str">
        <x:v>A03</x:v>
      </x:c>
    </x:row>
    <x:row r="117">
      <x:c r="C117" t="str">
        <x:v>Financing fee rate</x:v>
      </x:c>
      <x:c r="D117" s="559" t="n">
        <x:f>'Transaction Assumptions'!$D$21</x:f>
        <x:v>0.0125</x:v>
      </x:c>
      <x:c r="E117" s="559" t="n">
        <x:f>'Transaction Assumptions'!$D$21</x:f>
        <x:v>0.0125</x:v>
      </x:c>
      <x:c r="F117" s="252" t="str">
        <x:v>A04</x:v>
      </x:c>
    </x:row>
    <x:row r="118">
      <x:c r="C118" t="str">
        <x:v>Financing fee amortisation period</x:v>
      </x:c>
      <x:c r="D118" s="562" t="n">
        <x:f>'Transaction Assumptions'!$D$54</x:f>
        <x:v>5</x:v>
      </x:c>
      <x:c r="E118" s="562" t="n">
        <x:f>'Transaction Assumptions'!$D$54</x:f>
        <x:v>5</x:v>
      </x:c>
      <x:c r="F118" s="252" t="str">
        <x:v>A25</x:v>
      </x:c>
    </x:row>
    <x:row r="119">
      <x:c r="C119" t="str">
        <x:v>GXO cash acquired</x:v>
      </x:c>
      <x:c r="D119" s="558" t="n">
        <x:f>'Transaction Assumptions'!$D$17</x:f>
        <x:v>854</x:v>
      </x:c>
      <x:c r="E119" s="558" t="n">
        <x:f>'Transaction Assumptions'!$D$17</x:f>
        <x:v>854</x:v>
      </x:c>
      <x:c r="F119" s="252" t="str">
        <x:v>S01</x:v>
      </x:c>
    </x:row>
    <x:row r="120">
      <x:c r="C120" t="str">
        <x:v>GXO debt refinanced</x:v>
      </x:c>
      <x:c r="D120" s="558" t="n">
        <x:f>'Transaction Assumptions'!$D$18</x:f>
        <x:v>3065</x:v>
      </x:c>
      <x:c r="E120" s="558" t="n">
        <x:f>'Transaction Assumptions'!$D$18</x:f>
        <x:v>3065</x:v>
      </x:c>
      <x:c r="F120" s="252" t="str">
        <x:v>S01</x:v>
      </x:c>
    </x:row>
    <x:row r="121">
      <x:c r="C121" t="str">
        <x:v>Base UPS cash used</x:v>
      </x:c>
      <x:c r="D121" s="558" t="n">
        <x:f>'Transaction Assumptions'!$D$19</x:f>
        <x:v>2000</x:v>
      </x:c>
      <x:c r="E121" s="558" t="n">
        <x:f>'Transaction Assumptions'!$D$19</x:f>
        <x:v>2000</x:v>
      </x:c>
      <x:c r="F121" s="252" t="str">
        <x:v>A02</x:v>
      </x:c>
    </x:row>
    <x:row r="122">
      <x:c r="C122" t="str">
        <x:v>Lost cash yield</x:v>
      </x:c>
      <x:c r="D122" s="559" t="n">
        <x:f>'Transaction Assumptions'!$D$23</x:f>
        <x:v>0.04</x:v>
      </x:c>
      <x:c r="E122" s="559" t="n">
        <x:f>'Transaction Assumptions'!$D$23</x:f>
        <x:v>0.04</x:v>
      </x:c>
      <x:c r="F122" s="252" t="str">
        <x:v>A06</x:v>
      </x:c>
    </x:row>
    <x:row r="123">
      <x:c r="C123" t="str">
        <x:v>UPS reference share price</x:v>
      </x:c>
      <x:c r="D123" s="561" t="n">
        <x:f>'Transaction Assumptions'!$D$33</x:f>
        <x:v>99.56</x:v>
      </x:c>
      <x:c r="E123" s="561" t="n">
        <x:f>'Transaction Assumptions'!$D$33</x:f>
        <x:v>99.56</x:v>
      </x:c>
      <x:c r="F123" s="252" t="str">
        <x:v>S05</x:v>
      </x:c>
    </x:row>
    <x:row r="124">
      <x:c r="C124" t="str">
        <x:v>Target fully diluted shares</x:v>
      </x:c>
      <x:c r="D124" s="560" t="n">
        <x:f>'Transaction Assumptions'!$D$16</x:f>
        <x:v>117.02534184006379</x:v>
      </x:c>
      <x:c r="E124" s="560" t="n">
        <x:f>'Transaction Assumptions'!$D$16</x:f>
        <x:v>117.02534184006379</x:v>
      </x:c>
      <x:c r="F124" s="252" t="str">
        <x:v>Transaction Assumptions</x:v>
      </x:c>
    </x:row>
    <x:row r="125">
      <x:c r="C125" t="str">
        <x:v>Unaffected target share price</x:v>
      </x:c>
      <x:c r="D125" s="561" t="n">
        <x:f>'Transaction Assumptions'!$D$7</x:f>
        <x:v>53.05</x:v>
      </x:c>
      <x:c r="E125" s="561" t="n">
        <x:f>'Transaction Assumptions'!$D$7</x:f>
        <x:v>53.05</x:v>
      </x:c>
      <x:c r="F125" s="252" t="str">
        <x:v>S03</x:v>
      </x:c>
    </x:row>
    <x:row r="126">
      <x:c r="C126" t="str">
        <x:v>After-tax PPA expense per $1 of equity price</x:v>
      </x:c>
      <x:c r="D126" s="559" t="n">
        <x:f>D111/D112</x:f>
        <x:v>0.023979999999999998</x:v>
      </x:c>
      <x:c r="E126" s="559" t="n">
        <x:f>E111/E112</x:f>
        <x:v>0.02013</x:v>
      </x:c>
      <x:c r="F126" s="252" t="str">
        <x:v>Calculated</x:v>
      </x:c>
    </x:row>
    <x:row r="127">
      <x:c r="C127" t="str">
        <x:v>Headline debt interest rate</x:v>
      </x:c>
      <x:c r="D127" s="559" t="n">
        <x:f>'Transaction Assumptions'!$D$22</x:f>
        <x:v>0.0575</x:v>
      </x:c>
      <x:c r="E127" s="559" t="n">
        <x:f>'Transaction Assumptions'!$D$22</x:f>
        <x:v>0.0575</x:v>
      </x:c>
      <x:c r="F127" s="252" t="str">
        <x:v>A05</x:v>
      </x:c>
    </x:row>
  </x:sheetData>
  <x:mergeCells>
    <x:mergeCell ref="C51:O51"/>
  </x:mergeCells>
  <x:conditionalFormatting sqref="D10:H14">
    <x:cfRule type="colorScale" priority="7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10:O14">
    <x:cfRule type="colorScale" priority="8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D22:H26">
    <x:cfRule type="colorScale" priority="9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22:O26">
    <x:cfRule type="colorScale" priority="10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D34:H38">
    <x:cfRule type="colorScale" priority="1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34:O38">
    <x:cfRule type="colorScale" priority="1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D46:H50">
    <x:cfRule type="colorScale" priority="1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46:O50">
    <x:cfRule type="colorScale" priority="1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D58:H62">
    <x:cfRule type="colorScale" priority="15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58:O62">
    <x:cfRule type="colorScale" priority="16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D70:H74">
    <x:cfRule type="colorScale" priority="17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K70:O74">
    <x:cfRule type="colorScale" priority="18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Model checks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Independent controls for transaction mechanics and workbook completeness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17" t="str">
        <x:v>Check</x:v>
      </x:c>
      <x:c r="D6" s="17" t="str">
        <x:v>Actual</x:v>
      </x:c>
      <x:c r="E6" s="17" t="str">
        <x:v>Expected</x:v>
      </x:c>
      <x:c r="F6" s="17" t="str">
        <x:v>Difference</x:v>
      </x:c>
      <x:c r="G6" s="17" t="str">
        <x:v>Tolerance</x:v>
      </x:c>
      <x:c r="H6" s="17" t="str">
        <x:v>Status</x:v>
      </x:c>
      <x:c r="I6" s="4"/>
      <x:c r="J6" s="4"/>
      <x:c r="K6" s="4"/>
      <x:c r="L6" s="4"/>
      <x:c r="M6" s="4"/>
    </x:row>
    <x:row r="7">
      <x:c r="A7" s="79"/>
      <x:c r="C7" s="4" t="str">
        <x:v>Sources equal uses</x:v>
      </x:c>
      <x:c r="D7" s="11" t="n">
        <x:f>'Sources &amp; Uses'!D21</x:f>
        <x:v>11363.075939746834</x:v>
      </x:c>
      <x:c r="E7" s="11" t="n">
        <x:f>'Sources &amp; Uses'!D12</x:f>
        <x:v>11363.075939746834</x:v>
      </x:c>
      <x:c r="F7" s="11" t="n">
        <x:f>D7-E7</x:f>
        <x:v>0</x:v>
      </x:c>
      <x:c r="G7" s="11" t="n">
        <x:v>0.1</x:v>
      </x:c>
      <x:c r="H7" s="490" t="str">
        <x:f>IF(ABS(F7)&lt;=G7,"OK","ERROR")</x:f>
        <x:v>OK</x:v>
      </x:c>
      <x:c r="I7" s="4"/>
      <x:c r="J7" s="4"/>
      <x:c r="K7" s="4"/>
      <x:c r="L7" s="4"/>
      <x:c r="M7" s="4"/>
    </x:row>
    <x:row r="8">
      <x:c r="A8" s="79"/>
      <x:c r="C8" s="4" t="str">
        <x:v>Consideration percentages</x:v>
      </x:c>
      <x:c r="D8" s="76" t="n">
        <x:f>SUM('Sources &amp; Uses'!D38:D39)</x:f>
        <x:v>1</x:v>
      </x:c>
      <x:c r="E8" s="76" t="n">
        <x:v>1</x:v>
      </x:c>
      <x:c r="F8" s="76" t="n">
        <x:f>D8-E8</x:f>
        <x:v>0</x:v>
      </x:c>
      <x:c r="G8" s="76" t="n">
        <x:v>0.0001</x:v>
      </x:c>
      <x:c r="H8" s="490" t="str">
        <x:f>IF(ABS(F8)&lt;=G8,"OK","ERROR")</x:f>
        <x:v>OK</x:v>
      </x:c>
      <x:c r="I8" s="4"/>
      <x:c r="J8" s="4"/>
      <x:c r="K8" s="4"/>
      <x:c r="L8" s="4"/>
      <x:c r="M8" s="4"/>
    </x:row>
    <x:row r="9">
      <x:c r="A9" s="79"/>
      <x:c r="C9" s="4" t="str">
        <x:v>Offer price positive</x:v>
      </x:c>
      <x:c r="D9" s="4" t="n">
        <x:f>'Transaction Assumptions'!D9</x:f>
        <x:v>68.965</x:v>
      </x:c>
      <x:c r="E9" s="4" t="n">
        <x:v>0</x:v>
      </x:c>
      <x:c r="F9" s="4" t="n">
        <x:v>0</x:v>
      </x:c>
      <x:c r="G9" s="4" t="n">
        <x:v>0</x:v>
      </x:c>
      <x:c r="H9" s="490" t="str">
        <x:f>IF(D9&gt;E9,"OK","ERROR")</x:f>
        <x:v>OK</x:v>
      </x:c>
      <x:c r="I9" s="4"/>
      <x:c r="J9" s="4"/>
      <x:c r="K9" s="4"/>
      <x:c r="L9" s="4"/>
      <x:c r="M9" s="4"/>
    </x:row>
    <x:row r="10">
      <x:c r="A10" s="79"/>
      <x:c r="C10" s="4" t="str">
        <x:v>Fully diluted shares positive</x:v>
      </x:c>
      <x:c r="D10" s="4" t="n">
        <x:f>'Transaction Assumptions'!D16</x:f>
        <x:v>117.02534184006379</x:v>
      </x:c>
      <x:c r="E10" s="4" t="n">
        <x:v>0</x:v>
      </x:c>
      <x:c r="F10" s="4" t="n">
        <x:v>0</x:v>
      </x:c>
      <x:c r="G10" s="4" t="n">
        <x:v>0</x:v>
      </x:c>
      <x:c r="H10" s="490" t="str">
        <x:f>IF(D10&gt;E10,"OK","ERROR")</x:f>
        <x:v>OK</x:v>
      </x:c>
      <x:c r="I10" s="4"/>
      <x:c r="J10" s="4"/>
      <x:c r="K10" s="4"/>
      <x:c r="L10" s="4"/>
      <x:c r="M10" s="4"/>
    </x:row>
    <x:row r="11">
      <x:c r="A11" s="79"/>
      <x:c r="C11" s="4" t="str">
        <x:v>Synergy phase-in maximum</x:v>
      </x:c>
      <x:c r="D11" s="76" t="n">
        <x:f>MAX('Transaction Assumptions'!D27:D29)</x:f>
        <x:v>1</x:v>
      </x:c>
      <x:c r="E11" s="76" t="n">
        <x:v>1</x:v>
      </x:c>
      <x:c r="F11" s="76" t="n">
        <x:v>0</x:v>
      </x:c>
      <x:c r="G11" s="76" t="n">
        <x:v>0</x:v>
      </x:c>
      <x:c r="H11" s="490" t="str">
        <x:f>IF(D11&lt;=E11,"OK","ERROR")</x:f>
        <x:v>OK</x:v>
      </x:c>
      <x:c r="I11" s="4"/>
      <x:c r="J11" s="4"/>
      <x:c r="K11" s="4"/>
      <x:c r="L11" s="4"/>
      <x:c r="M11" s="4"/>
    </x:row>
    <x:row r="12">
      <x:c r="A12" s="79"/>
      <x:c r="C12" s="4" t="str">
        <x:v>Scenario selector valid</x:v>
      </x:c>
      <x:c r="D12" s="4" t="n">
        <x:v>1</x:v>
      </x:c>
      <x:c r="E12" s="4" t="n">
        <x:v>1</x:v>
      </x:c>
      <x:c r="F12" s="4" t="n">
        <x:v>0</x:v>
      </x:c>
      <x:c r="G12" s="4" t="n">
        <x:v>0</x:v>
      </x:c>
      <x:c r="H12" s="490" t="str">
        <x:f>IF(D12=E12,"OK","ERROR")</x:f>
        <x:v>OK</x:v>
      </x:c>
      <x:c r="I12" s="4"/>
      <x:c r="J12" s="4"/>
      <x:c r="K12" s="4"/>
      <x:c r="L12" s="4"/>
      <x:c r="M12" s="4"/>
    </x:row>
    <x:row r="13">
      <x:c r="A13" s="79"/>
      <x:c r="C13" s="4"/>
      <x:c r="D13" s="4"/>
      <x:c r="E13" s="4"/>
      <x:c r="F13" s="4"/>
      <x:c r="G13" s="4"/>
      <x:c r="H13" s="490"/>
      <x:c r="I13" s="4"/>
      <x:c r="J13" s="4"/>
      <x:c r="K13" s="4"/>
      <x:c r="L13" s="4"/>
      <x:c r="M13" s="4"/>
    </x:row>
    <x:row r="14">
      <x:c r="A14" s="79"/>
      <x:c r="C14" s="510" t="str">
        <x:v>Overall model status</x:v>
      </x:c>
      <x:c r="D14" s="511" t="str">
        <x:f>IF(COUNTIF(H7:H104,"ERROR")=0,"All checks OK","Review errors")</x:f>
        <x:v>All checks OK</x:v>
      </x:c>
      <x:c r="E14" s="4"/>
      <x:c r="F14" s="4"/>
      <x:c r="G14" s="4"/>
      <x:c r="H14" s="490"/>
      <x:c r="I14" s="4"/>
      <x:c r="J14" s="4"/>
      <x:c r="K14" s="4"/>
      <x:c r="L14" s="4"/>
      <x:c r="M14" s="4"/>
    </x:row>
    <x:row r="15">
      <x:c r="A15" s="79"/>
      <x:c r="C15" s="512" t="str">
        <x:v>Open schedule count</x:v>
      </x:c>
      <x:c r="D15" s="513" t="n">
        <x:v>0</x:v>
      </x:c>
      <x:c r="E15" s="4"/>
      <x:c r="F15" s="4"/>
      <x:c r="G15" s="4"/>
      <x:c r="H15" s="490"/>
      <x:c r="I15" s="4"/>
      <x:c r="J15" s="4"/>
      <x:c r="K15" s="4"/>
      <x:c r="L15" s="4"/>
      <x:c r="M15" s="4"/>
    </x:row>
    <x:row r="16">
      <x:c r="A16" s="79"/>
      <x:c r="C16" s="499" t="str">
        <x:v>Forecast and valuation checks</x:v>
      </x:c>
      <x:c r="D16" s="500"/>
      <x:c r="E16" s="500"/>
      <x:c r="F16" s="500"/>
      <x:c r="G16" s="500"/>
      <x:c r="H16" s="509"/>
      <x:c r="I16" s="4"/>
      <x:c r="J16" s="4"/>
      <x:c r="K16" s="4"/>
      <x:c r="L16" s="4"/>
      <x:c r="M16" s="4"/>
    </x:row>
    <x:row r="17">
      <x:c r="A17" s="79"/>
      <x:c r="C17" s="4" t="str">
        <x:v>Historical financials loaded</x:v>
      </x:c>
      <x:c r="D17" s="4" t="n">
        <x:v>6</x:v>
      </x:c>
      <x:c r="E17" s="4" t="n">
        <x:v>6</x:v>
      </x:c>
      <x:c r="F17" s="4" t="n">
        <x:v>0</x:v>
      </x:c>
      <x:c r="G17" s="4" t="n">
        <x:v>0</x:v>
      </x:c>
      <x:c r="H17" s="490" t="str">
        <x:v>OK</x:v>
      </x:c>
      <x:c r="I17" s="4"/>
      <x:c r="J17" s="4"/>
      <x:c r="K17" s="4"/>
      <x:c r="L17" s="4"/>
      <x:c r="M17" s="4"/>
    </x:row>
    <x:row r="18">
      <x:c r="A18" s="79"/>
      <x:c r="C18" s="4" t="str">
        <x:v>Forecast selector valid</x:v>
      </x:c>
      <x:c r="D18" s="4" t="n">
        <x:f>IF(OR('Standalone Forecasts'!D6="Base",'Standalone Forecasts'!D6="Downside",'Standalone Forecasts'!D6="Upside"),1,0)</x:f>
        <x:v>1</x:v>
      </x:c>
      <x:c r="E18" s="4" t="n">
        <x:v>1</x:v>
      </x:c>
      <x:c r="F18" s="4" t="n">
        <x:f>D18-E18</x:f>
        <x:v>0</x:v>
      </x:c>
      <x:c r="G18" s="4" t="n">
        <x:v>0</x:v>
      </x:c>
      <x:c r="H18" s="490" t="str">
        <x:f>IF(ABS(F18)&lt;=G18,"OK","ERROR")</x:f>
        <x:v>OK</x:v>
      </x:c>
      <x:c r="I18" s="4"/>
      <x:c r="J18" s="4"/>
      <x:c r="K18" s="4"/>
      <x:c r="L18" s="4"/>
      <x:c r="M18" s="4"/>
    </x:row>
    <x:row r="19">
      <x:c r="A19" s="79"/>
      <x:c r="C19" s="4" t="str">
        <x:v>UPS FY2026 revenue guidance tie</x:v>
      </x:c>
      <x:c r="D19" s="4" t="n">
        <x:f>'Standalone Forecasts'!G12</x:f>
        <x:v>89724.932</x:v>
      </x:c>
      <x:c r="E19" s="4" t="n">
        <x:v>89700</x:v>
      </x:c>
      <x:c r="F19" s="4" t="n">
        <x:f>D19-E19</x:f>
        <x:v>24.9320000000007</x:v>
      </x:c>
      <x:c r="G19" s="4" t="n">
        <x:v>100</x:v>
      </x:c>
      <x:c r="H19" s="490" t="str">
        <x:f>IF(ABS(F19)&lt;=G19,"OK","REVIEW")</x:f>
        <x:v>OK</x:v>
      </x:c>
      <x:c r="I19" s="4"/>
      <x:c r="J19" s="4"/>
      <x:c r="K19" s="4"/>
      <x:c r="L19" s="4"/>
      <x:c r="M19" s="4"/>
    </x:row>
    <x:row r="20">
      <x:c r="A20" s="79"/>
      <x:c r="C20" s="4" t="str">
        <x:v>GXO FY2026 adjusted EBITDA guidance range</x:v>
      </x:c>
      <x:c r="D20" s="4" t="n">
        <x:f>'Standalone Forecasts'!G30</x:f>
        <x:v>950.1996899999999</x:v>
      </x:c>
      <x:c r="E20" s="4" t="n">
        <x:v>950</x:v>
      </x:c>
      <x:c r="F20" s="4" t="n">
        <x:f>D20-E20</x:f>
        <x:v>0.19968999999991865</x:v>
      </x:c>
      <x:c r="G20" s="4" t="n">
        <x:v>20</x:v>
      </x:c>
      <x:c r="H20" s="490" t="str">
        <x:f>IF(ABS(F20)&lt;=G20,"OK","REVIEW")</x:f>
        <x:v>OK</x:v>
      </x:c>
      <x:c r="I20" s="4"/>
      <x:c r="J20" s="4"/>
      <x:c r="K20" s="4"/>
      <x:c r="L20" s="4"/>
      <x:c r="M20" s="4"/>
    </x:row>
    <x:row r="21">
      <x:c r="A21" s="79"/>
      <x:c r="C21" s="4" t="str">
        <x:v>Offer price calculation</x:v>
      </x:c>
      <x:c r="D21" s="4" t="n">
        <x:f>'Transaction Valuation'!D10</x:f>
        <x:v>68.965</x:v>
      </x:c>
      <x:c r="E21" s="4" t="n">
        <x:f>'Transaction Assumptions'!D7*(1+'Transaction Assumptions'!D8)</x:f>
        <x:v>68.965</x:v>
      </x:c>
      <x:c r="F21" s="4" t="n">
        <x:f>D21-E21</x:f>
        <x:v>0</x:v>
      </x:c>
      <x:c r="G21" s="4" t="n">
        <x:v>0.001</x:v>
      </x:c>
      <x:c r="H21" s="490" t="str">
        <x:f>IF(ABS(F21)&lt;=G21,"OK","ERROR")</x:f>
        <x:v>OK</x:v>
      </x:c>
      <x:c r="I21" s="4"/>
      <x:c r="J21" s="4"/>
      <x:c r="K21" s="4"/>
      <x:c r="L21" s="4"/>
      <x:c r="M21" s="4"/>
    </x:row>
    <x:row r="22">
      <x:c r="A22" s="79"/>
      <x:c r="C22" s="4" t="str">
        <x:v>Transaction EV bridge</x:v>
      </x:c>
      <x:c r="D22" s="4" t="n">
        <x:f>'Transaction Valuation'!D24</x:f>
        <x:v>10281.652699999999</x:v>
      </x:c>
      <x:c r="E22" s="4" t="n">
        <x:f>'Transaction Valuation'!D16+'Transaction Assumptions'!D18-'Transaction Assumptions'!D17</x:f>
        <x:v>10281.652699999999</x:v>
      </x:c>
      <x:c r="F22" s="4" t="n">
        <x:f>D22-E22</x:f>
        <x:v>0</x:v>
      </x:c>
      <x:c r="G22" s="4" t="n">
        <x:v>0.1</x:v>
      </x:c>
      <x:c r="H22" s="490" t="str">
        <x:f>IF(ABS(F22)&lt;=G22,"OK","ERROR")</x:f>
        <x:v>OK</x:v>
      </x:c>
      <x:c r="I22" s="4"/>
      <x:c r="J22" s="4"/>
      <x:c r="K22" s="4"/>
      <x:c r="L22" s="4"/>
      <x:c r="M22" s="4"/>
    </x:row>
    <x:row r="23">
      <x:c r="A23" s="79"/>
      <x:c r="C23" s="4" t="str">
        <x:v>Valuation denominators positive</x:v>
      </x:c>
      <x:c r="D23" s="4" t="n">
        <x:f>IF(MIN('Transaction Valuation'!D36:E38)&gt;0,1,0)</x:f>
        <x:v>1</x:v>
      </x:c>
      <x:c r="E23" s="4" t="n">
        <x:v>1</x:v>
      </x:c>
      <x:c r="F23" s="4" t="n">
        <x:f>D23-E23</x:f>
        <x:v>0</x:v>
      </x:c>
      <x:c r="G23" s="4" t="n">
        <x:v>0</x:v>
      </x:c>
      <x:c r="H23" s="490" t="str">
        <x:f>IF(D23=E23,"OK","ERROR")</x:f>
        <x:v>OK</x:v>
      </x:c>
      <x:c r="I23" s="4"/>
      <x:c r="J23" s="4"/>
      <x:c r="K23" s="4"/>
      <x:c r="L23" s="4"/>
      <x:c r="M23" s="4"/>
    </x:row>
    <x:row r="24">
      <x:c r="A24" s="79"/>
      <x:c r="C24" s="4" t="str">
        <x:v>Funding mix reconciles</x:v>
      </x:c>
      <x:c r="D24" s="76" t="n">
        <x:f>SUM('Sources &amp; Uses'!E17:E20)</x:f>
        <x:v>1</x:v>
      </x:c>
      <x:c r="E24" s="76" t="n">
        <x:v>1</x:v>
      </x:c>
      <x:c r="F24" s="76" t="n">
        <x:f>D24-E24</x:f>
        <x:v>0</x:v>
      </x:c>
      <x:c r="G24" s="76" t="n">
        <x:v>0.0001</x:v>
      </x:c>
      <x:c r="H24" s="490" t="str">
        <x:f>IF(ABS(F24)&lt;=G24,"OK","ERROR")</x:f>
        <x:v>OK</x:v>
      </x:c>
      <x:c r="I24" s="4"/>
      <x:c r="J24" s="4"/>
      <x:c r="K24" s="4"/>
      <x:c r="L24" s="4"/>
      <x:c r="M24" s="4"/>
    </x:row>
    <x:row r="25">
      <x:c r="A25" s="79"/>
      <x:c r="C25" s="4" t="str">
        <x:v>Financing fee calculation</x:v>
      </x:c>
      <x:c r="D25" s="338" t="n">
        <x:f>'Sources &amp; Uses'!D11</x:f>
        <x:v>106.36344924683543</x:v>
      </x:c>
      <x:c r="E25" s="338" t="n">
        <x:f>'Sources &amp; Uses'!D19*'Transaction Assumptions'!D21</x:f>
        <x:v>106.36344924683543</x:v>
      </x:c>
      <x:c r="F25" s="338" t="n">
        <x:f>D25-E25</x:f>
        <x:v>0</x:v>
      </x:c>
      <x:c r="G25" s="338" t="n">
        <x:v>0.1</x:v>
      </x:c>
      <x:c r="H25" s="490" t="str">
        <x:f>IF(ABS(F25)&lt;=G25,"OK","ERROR")</x:f>
        <x:v>OK</x:v>
      </x:c>
      <x:c r="I25" s="4"/>
      <x:c r="J25" s="4"/>
      <x:c r="K25" s="4"/>
      <x:c r="L25" s="4"/>
      <x:c r="M25" s="4"/>
    </x:row>
    <x:row r="26">
      <x:c r="A26" s="79"/>
      <x:c r="C26" s="4" t="str">
        <x:v>New shares issued</x:v>
      </x:c>
      <x:c r="D26" s="339" t="n">
        <x:f>'Sources &amp; Uses'!D40</x:f>
        <x:v>0</x:v>
      </x:c>
      <x:c r="E26" s="339" t="n">
        <x:f>'Sources &amp; Uses'!D37/'Transaction Assumptions'!D33</x:f>
        <x:v>0</x:v>
      </x:c>
      <x:c r="F26" s="339" t="n">
        <x:f>D26-E26</x:f>
        <x:v>0</x:v>
      </x:c>
      <x:c r="G26" s="339" t="n">
        <x:v>0.001</x:v>
      </x:c>
      <x:c r="H26" s="490" t="str">
        <x:f>IF(ABS(F26)&lt;=G26,"OK","ERROR")</x:f>
        <x:v>OK</x:v>
      </x:c>
      <x:c r="I26" s="4"/>
      <x:c r="J26" s="4"/>
      <x:c r="K26" s="4"/>
      <x:c r="L26" s="4"/>
      <x:c r="M26" s="4"/>
    </x:row>
    <x:row r="27">
      <x:c r="A27" s="79"/>
      <x:c r="C27" s="4" t="str">
        <x:v>Funding sources non-negative</x:v>
      </x:c>
      <x:c r="D27" s="4" t="n">
        <x:f>IF(MIN('Sources &amp; Uses'!D17:D20)&gt;=0,1,0)</x:f>
        <x:v>1</x:v>
      </x:c>
      <x:c r="E27" s="4" t="n">
        <x:v>1</x:v>
      </x:c>
      <x:c r="F27" s="4" t="n">
        <x:f>D27-E27</x:f>
        <x:v>0</x:v>
      </x:c>
      <x:c r="G27" s="4" t="n">
        <x:v>0</x:v>
      </x:c>
      <x:c r="H27" s="490" t="str">
        <x:f>IF(D27=E27,"OK","ERROR")</x:f>
        <x:v>OK</x:v>
      </x:c>
      <x:c r="I27" s="4"/>
      <x:c r="J27" s="4"/>
      <x:c r="K27" s="4"/>
      <x:c r="L27" s="4"/>
      <x:c r="M27" s="4"/>
    </x:row>
    <x:row r="28">
      <x:c r="A28" s="79"/>
      <x:c r="C28" s="4" t="str">
        <x:v>Debt tranche mix</x:v>
      </x:c>
      <x:c r="D28" s="76" t="n">
        <x:f>SUM('Transaction Assumptions'!D45:D47)</x:f>
        <x:v>1</x:v>
      </x:c>
      <x:c r="E28" s="76" t="n">
        <x:v>1</x:v>
      </x:c>
      <x:c r="F28" s="76" t="n">
        <x:f>D28-E28</x:f>
        <x:v>0</x:v>
      </x:c>
      <x:c r="G28" s="76" t="n">
        <x:v>0.0001</x:v>
      </x:c>
      <x:c r="H28" s="490" t="str">
        <x:f>IF(ABS(F28)&lt;=G28,"OK","ERROR")</x:f>
        <x:v>OK</x:v>
      </x:c>
      <x:c r="I28" s="4"/>
      <x:c r="J28" s="4"/>
      <x:c r="K28" s="4"/>
      <x:c r="L28" s="4"/>
      <x:c r="M28" s="4"/>
    </x:row>
    <x:row r="29">
      <x:c r="A29" s="79"/>
      <x:c r="C29" s="4" t="str">
        <x:v>Integration cost shares</x:v>
      </x:c>
      <x:c r="D29" s="76" t="n">
        <x:f>SUM('Transaction Assumptions'!D55:D57)</x:f>
        <x:v>1</x:v>
      </x:c>
      <x:c r="E29" s="76" t="n">
        <x:v>1</x:v>
      </x:c>
      <x:c r="F29" s="76" t="n">
        <x:f>D29-E29</x:f>
        <x:v>0</x:v>
      </x:c>
      <x:c r="G29" s="76" t="n">
        <x:v>0.0001</x:v>
      </x:c>
      <x:c r="H29" s="490" t="str">
        <x:f>IF(ABS(F29)&lt;=G29,"OK","ERROR")</x:f>
        <x:v>OK</x:v>
      </x:c>
      <x:c r="I29" s="4"/>
      <x:c r="J29" s="4"/>
      <x:c r="K29" s="4"/>
      <x:c r="L29" s="4"/>
      <x:c r="M29" s="4"/>
    </x:row>
    <x:row r="30">
      <x:c r="A30" s="79"/>
      <x:c r="C30" s="4" t="str">
        <x:v>Closing debt roll-forward</x:v>
      </x:c>
      <x:c r="D30" s="338" t="n">
        <x:f>'Financing'!G13</x:f>
        <x:v>6924.620581450285</x:v>
      </x:c>
      <x:c r="E30" s="338" t="n">
        <x:f>'Financing'!G9+'Financing'!G10+'Financing'!G11+'Financing'!G12</x:f>
        <x:v>6924.620581450285</x:v>
      </x:c>
      <x:c r="F30" s="338" t="n">
        <x:f>D30-E30</x:f>
        <x:v>0</x:v>
      </x:c>
      <x:c r="G30" s="338" t="n">
        <x:v>0.1</x:v>
      </x:c>
      <x:c r="H30" s="490" t="str">
        <x:f>IF(ABS(F30)&lt;=G30,"OK","ERROR")</x:f>
        <x:v>OK</x:v>
      </x:c>
      <x:c r="I30" s="4"/>
      <x:c r="J30" s="4"/>
      <x:c r="K30" s="4"/>
      <x:c r="L30" s="4"/>
      <x:c r="M30" s="4"/>
    </x:row>
    <x:row r="31">
      <x:c r="A31" s="79"/>
      <x:c r="C31" s="4" t="str">
        <x:v>Debt tranches tie to total</x:v>
      </x:c>
      <x:c r="D31" s="338" t="n">
        <x:f>'Financing'!G41</x:f>
        <x:v>6924.620581450285</x:v>
      </x:c>
      <x:c r="E31" s="338" t="n">
        <x:f>'Financing'!G13</x:f>
        <x:v>6924.620581450285</x:v>
      </x:c>
      <x:c r="F31" s="338" t="n">
        <x:f>D31-E31</x:f>
        <x:v>0</x:v>
      </x:c>
      <x:c r="G31" s="338" t="n">
        <x:v>0.1</x:v>
      </x:c>
      <x:c r="H31" s="490" t="str">
        <x:f>IF(ABS(F31)&lt;=G31,"OK","ERROR")</x:f>
        <x:v>OK</x:v>
      </x:c>
      <x:c r="I31" s="4"/>
      <x:c r="J31" s="4"/>
      <x:c r="K31" s="4"/>
      <x:c r="L31" s="4"/>
      <x:c r="M31" s="4"/>
    </x:row>
    <x:row r="32">
      <x:c r="A32" s="79"/>
      <x:c r="C32" s="4" t="str">
        <x:v>Cash interest tie</x:v>
      </x:c>
      <x:c r="D32" s="338" t="n">
        <x:f>'Financing'!G15</x:f>
        <x:v>424.4859312410438</x:v>
      </x:c>
      <x:c r="E32" s="338" t="n">
        <x:f>'Financing'!G61</x:f>
        <x:v>424.4859312410438</x:v>
      </x:c>
      <x:c r="F32" s="338" t="n">
        <x:f>D32-E32</x:f>
        <x:v>0</x:v>
      </x:c>
      <x:c r="G32" s="338" t="n">
        <x:v>0.1</x:v>
      </x:c>
      <x:c r="H32" s="490" t="str">
        <x:f>IF(ABS(F32)&lt;=G32,"OK","ERROR")</x:f>
        <x:v>OK</x:v>
      </x:c>
      <x:c r="I32" s="4"/>
      <x:c r="J32" s="4"/>
      <x:c r="K32" s="4"/>
      <x:c r="L32" s="4"/>
      <x:c r="M32" s="4"/>
    </x:row>
    <x:row r="33">
      <x:c r="A33" s="79"/>
      <x:c r="C33" s="4" t="str">
        <x:v>Debt balances non-negative</x:v>
      </x:c>
      <x:c r="D33" s="4" t="n">
        <x:f>IF(MIN('Financing'!D38:G40)&gt;=0,1,0)</x:f>
        <x:v>1</x:v>
      </x:c>
      <x:c r="E33" s="4" t="n">
        <x:v>1</x:v>
      </x:c>
      <x:c r="F33" s="4" t="n">
        <x:f>D33-E33</x:f>
        <x:v>0</x:v>
      </x:c>
      <x:c r="G33" s="4" t="n">
        <x:v>0</x:v>
      </x:c>
      <x:c r="H33" s="490" t="str">
        <x:f>IF(D33=E33,"OK","ERROR")</x:f>
        <x:v>OK</x:v>
      </x:c>
      <x:c r="I33" s="4"/>
      <x:c r="J33" s="4"/>
      <x:c r="K33" s="4"/>
      <x:c r="L33" s="4"/>
      <x:c r="M33" s="4"/>
    </x:row>
    <x:row r="34">
      <x:c r="A34" s="79"/>
      <x:c r="C34" s="499" t="str">
        <x:v>Purchase accounting checks</x:v>
      </x:c>
      <x:c r="D34" s="500"/>
      <x:c r="E34" s="500"/>
      <x:c r="F34" s="500"/>
      <x:c r="G34" s="500"/>
      <x:c r="H34" s="509"/>
      <x:c r="I34" s="4"/>
      <x:c r="J34" s="4"/>
      <x:c r="K34" s="4"/>
      <x:c r="L34" s="4"/>
      <x:c r="M34" s="4"/>
    </x:row>
    <x:row r="35">
      <x:c r="A35" s="79"/>
      <x:c r="C35" s="4" t="str">
        <x:v>Purchase price allocation</x:v>
      </x:c>
      <x:c r="D35" s="338" t="n">
        <x:f>'Purchase Accounting'!D28</x:f>
        <x:v>8070.6527</x:v>
      </x:c>
      <x:c r="E35" s="338" t="n">
        <x:f>'Purchase Accounting'!D9</x:f>
        <x:v>8070.6527</x:v>
      </x:c>
      <x:c r="F35" s="338" t="n">
        <x:f>D35-E35</x:f>
        <x:v>0</x:v>
      </x:c>
      <x:c r="G35" s="338" t="n">
        <x:v>0.1</x:v>
      </x:c>
      <x:c r="H35" s="490" t="str">
        <x:f>IF(ABS(F35)&lt;=G35,"OK","ERROR")</x:f>
        <x:v>OK</x:v>
      </x:c>
      <x:c r="I35" s="4"/>
      <x:c r="J35" s="4"/>
      <x:c r="K35" s="4"/>
      <x:c r="L35" s="4"/>
      <x:c r="M35" s="4"/>
    </x:row>
    <x:row r="36">
      <x:c r="A36" s="79"/>
      <x:c r="C36" s="4" t="str">
        <x:v>Deferred tax liability</x:v>
      </x:c>
      <x:c r="D36" s="338" t="n">
        <x:f>'Purchase Accounting'!D25</x:f>
        <x:v>-584.7187881149999</x:v>
      </x:c>
      <x:c r="E36" s="338" t="n">
        <x:f>-'Purchase Accounting'!D24*'Transaction Assumptions'!D24</x:f>
        <x:v>-584.7187881149999</x:v>
      </x:c>
      <x:c r="F36" s="338" t="n">
        <x:f>D36-E36</x:f>
        <x:v>0</x:v>
      </x:c>
      <x:c r="G36" s="338" t="n">
        <x:v>0.1</x:v>
      </x:c>
      <x:c r="H36" s="490" t="str">
        <x:f>IF(ABS(F36)&lt;=G36,"OK","ERROR")</x:f>
        <x:v>OK</x:v>
      </x:c>
      <x:c r="I36" s="4"/>
      <x:c r="J36" s="4"/>
      <x:c r="K36" s="4"/>
      <x:c r="L36" s="4"/>
      <x:c r="M36" s="4"/>
    </x:row>
    <x:row r="37">
      <x:c r="A37" s="79"/>
      <x:c r="C37" s="4" t="str">
        <x:v>Goodwill non-negative</x:v>
      </x:c>
      <x:c r="D37" s="4" t="n">
        <x:f>IF('Purchase Accounting'!D27&gt;=0,1,0)</x:f>
        <x:v>1</x:v>
      </x:c>
      <x:c r="E37" s="4" t="n">
        <x:v>1</x:v>
      </x:c>
      <x:c r="F37" s="4" t="n">
        <x:f>D37-E37</x:f>
        <x:v>0</x:v>
      </x:c>
      <x:c r="G37" s="4" t="n">
        <x:v>0</x:v>
      </x:c>
      <x:c r="H37" s="490" t="str">
        <x:f>IF(D37=E37,"OK","ERROR")</x:f>
        <x:v>OK</x:v>
      </x:c>
      <x:c r="I37" s="4"/>
      <x:c r="J37" s="4"/>
      <x:c r="K37" s="4"/>
      <x:c r="L37" s="4"/>
      <x:c r="M37" s="4"/>
    </x:row>
    <x:row r="38">
      <x:c r="A38" s="79"/>
      <x:c r="C38" s="4" t="str">
        <x:v>Purchase-accounting expense</x:v>
      </x:c>
      <x:c r="D38" s="338" t="n">
        <x:f>'Purchase Accounting'!F40</x:f>
        <x:v>251.34318408571426</x:v>
      </x:c>
      <x:c r="E38" s="338" t="n">
        <x:f>SUM('Purchase Accounting'!F35:F39)</x:f>
        <x:v>251.34318408571426</x:v>
      </x:c>
      <x:c r="F38" s="338" t="n">
        <x:f>D38-E38</x:f>
        <x:v>0</x:v>
      </x:c>
      <x:c r="G38" s="338" t="n">
        <x:v>0.1</x:v>
      </x:c>
      <x:c r="H38" s="490" t="str">
        <x:f>IF(ABS(F38)&lt;=G38,"OK","ERROR")</x:f>
        <x:v>OK</x:v>
      </x:c>
      <x:c r="I38" s="4"/>
      <x:c r="J38" s="4"/>
      <x:c r="K38" s="4"/>
      <x:c r="L38" s="4"/>
      <x:c r="M38" s="4"/>
    </x:row>
    <x:row r="39">
      <x:c r="A39" s="79"/>
      <x:c r="C39" s="4" t="str">
        <x:v>Useful lives positive</x:v>
      </x:c>
      <x:c r="D39" s="4" t="n">
        <x:f>IF(MIN('Purchase Accounting'!E35:E39)&gt;0,1,0)</x:f>
        <x:v>1</x:v>
      </x:c>
      <x:c r="E39" s="4" t="n">
        <x:v>1</x:v>
      </x:c>
      <x:c r="F39" s="4" t="n">
        <x:f>D39-E39</x:f>
        <x:v>0</x:v>
      </x:c>
      <x:c r="G39" s="4" t="n">
        <x:v>0</x:v>
      </x:c>
      <x:c r="H39" s="490" t="str">
        <x:f>IF(D39=E39,"OK","ERROR")</x:f>
        <x:v>OK</x:v>
      </x:c>
      <x:c r="I39" s="4"/>
      <x:c r="J39" s="4"/>
      <x:c r="K39" s="4"/>
      <x:c r="L39" s="4"/>
      <x:c r="M39" s="4"/>
    </x:row>
    <x:row r="40">
      <x:c r="A40" s="79"/>
      <x:c r="C40" s="499" t="str">
        <x:v>Pro forma checks</x:v>
      </x:c>
      <x:c r="D40" s="500"/>
      <x:c r="E40" s="500"/>
      <x:c r="F40" s="500"/>
      <x:c r="G40" s="500"/>
      <x:c r="H40" s="509"/>
      <x:c r="I40" s="4"/>
      <x:c r="J40" s="4"/>
      <x:c r="K40" s="4"/>
      <x:c r="L40" s="4"/>
      <x:c r="M40" s="4"/>
    </x:row>
    <x:row r="41">
      <x:c r="A41" s="79"/>
      <x:c r="C41" s="4" t="str">
        <x:v>Pro forma net income bridge</x:v>
      </x:c>
      <x:c r="D41" s="338" t="n">
        <x:f>'Pro Forma Income Statement'!F33</x:f>
        <x:v>6669.715680305383</x:v>
      </x:c>
      <x:c r="E41" s="338" t="n">
        <x:f>SUM('Pro Forma Income Statement'!F25:F32)</x:f>
        <x:v>6669.715680305383</x:v>
      </x:c>
      <x:c r="F41" s="338" t="n">
        <x:f>D41-E41</x:f>
        <x:v>0</x:v>
      </x:c>
      <x:c r="G41" s="338" t="n">
        <x:v>0.1</x:v>
      </x:c>
      <x:c r="H41" s="490" t="str">
        <x:f>IF(ABS(F41)&lt;=G41,"OK","ERROR")</x:f>
        <x:v>OK</x:v>
      </x:c>
      <x:c r="I41" s="4"/>
      <x:c r="J41" s="4"/>
      <x:c r="K41" s="4"/>
      <x:c r="L41" s="4"/>
      <x:c r="M41" s="4"/>
    </x:row>
    <x:row r="42">
      <x:c r="A42" s="79"/>
      <x:c r="C42" s="4" t="str">
        <x:v>Pro forma diluted shares</x:v>
      </x:c>
      <x:c r="D42" s="338" t="n">
        <x:f>'Pro Forma Income Statement'!F37</x:f>
        <x:v>836.328568875</x:v>
      </x:c>
      <x:c r="E42" s="338" t="n">
        <x:f>SUM('Pro Forma Income Statement'!F35:F36)</x:f>
        <x:v>836.328568875</x:v>
      </x:c>
      <x:c r="F42" s="338" t="n">
        <x:f>D42-E42</x:f>
        <x:v>0</x:v>
      </x:c>
      <x:c r="G42" s="338" t="n">
        <x:v>0.001</x:v>
      </x:c>
      <x:c r="H42" s="490" t="str">
        <x:f>IF(ABS(F42)&lt;=G42,"OK","ERROR")</x:f>
        <x:v>OK</x:v>
      </x:c>
      <x:c r="I42" s="4"/>
      <x:c r="J42" s="4"/>
      <x:c r="K42" s="4"/>
      <x:c r="L42" s="4"/>
      <x:c r="M42" s="4"/>
    </x:row>
    <x:row r="43">
      <x:c r="A43" s="79"/>
      <x:c r="C43" s="4" t="str">
        <x:v>Pro forma EPS calculation</x:v>
      </x:c>
      <x:c r="D43" s="27" t="n">
        <x:f>'Pro Forma Income Statement'!F39</x:f>
        <x:v>7.974994432244796</x:v>
      </x:c>
      <x:c r="E43" s="27" t="n">
        <x:f>'Pro Forma Income Statement'!F33/'Pro Forma Income Statement'!F37</x:f>
        <x:v>7.974994432244796</x:v>
      </x:c>
      <x:c r="F43" s="27" t="n">
        <x:f>D43-E43</x:f>
        <x:v>0</x:v>
      </x:c>
      <x:c r="G43" s="27" t="n">
        <x:v>0.001</x:v>
      </x:c>
      <x:c r="H43" s="490" t="str">
        <x:f>IF(ABS(F43)&lt;=G43,"OK","ERROR")</x:f>
        <x:v>OK</x:v>
      </x:c>
      <x:c r="I43" s="4"/>
      <x:c r="J43" s="4"/>
      <x:c r="K43" s="4"/>
      <x:c r="L43" s="4"/>
      <x:c r="M43" s="4"/>
    </x:row>
    <x:row r="44">
      <x:c r="A44" s="79"/>
      <x:c r="C44" s="4" t="str">
        <x:v>EPS accretion calculation</x:v>
      </x:c>
      <x:c r="D44" s="76" t="n">
        <x:f>'Accretion-Dilution'!F17</x:f>
        <x:v>0.02043184257214259</x:v>
      </x:c>
      <x:c r="E44" s="76" t="n">
        <x:f>'Accretion-Dilution'!F15/'Accretion-Dilution'!F14-1</x:f>
        <x:v>0.02043184257214259</x:v>
      </x:c>
      <x:c r="F44" s="76" t="n">
        <x:f>D44-E44</x:f>
        <x:v>0</x:v>
      </x:c>
      <x:c r="G44" s="76" t="n">
        <x:v>0.0001</x:v>
      </x:c>
      <x:c r="H44" s="490" t="str">
        <x:f>IF(ABS(F44)&lt;=G44,"OK","ERROR")</x:f>
        <x:v>OK</x:v>
      </x:c>
      <x:c r="I44" s="4"/>
      <x:c r="J44" s="4"/>
      <x:c r="K44" s="4"/>
      <x:c r="L44" s="4"/>
      <x:c r="M44" s="4"/>
    </x:row>
    <x:row r="45">
      <x:c r="A45" s="79"/>
      <x:c r="C45" s="4" t="str">
        <x:v>Pro forma outputs positive</x:v>
      </x:c>
      <x:c r="D45" s="4" t="n">
        <x:f>IF(AND(MIN('Pro Forma Income Statement'!D33:F33)&gt;0,MIN('Pro Forma Income Statement'!D37:F39)&gt;0),1,0)</x:f>
        <x:v>1</x:v>
      </x:c>
      <x:c r="E45" s="4" t="n">
        <x:v>1</x:v>
      </x:c>
      <x:c r="F45" s="4" t="n">
        <x:f>D45-E45</x:f>
        <x:v>0</x:v>
      </x:c>
      <x:c r="G45" s="4" t="n">
        <x:v>0</x:v>
      </x:c>
      <x:c r="H45" s="490" t="str">
        <x:f>IF(D45=E45,"OK","ERROR")</x:f>
        <x:v>OK</x:v>
      </x:c>
      <x:c r="I45" s="4"/>
      <x:c r="J45" s="4"/>
      <x:c r="K45" s="4"/>
      <x:c r="L45" s="4"/>
      <x:c r="M45" s="4"/>
    </x:row>
    <x:row r="46">
      <x:c r="A46" s="79"/>
      <x:c r="C46" s="499" t="str">
        <x:v>Sensitivity checks</x:v>
      </x:c>
      <x:c r="D46" s="500"/>
      <x:c r="E46" s="500"/>
      <x:c r="F46" s="500"/>
      <x:c r="G46" s="500"/>
      <x:c r="H46" s="509"/>
      <x:c r="I46" s="4"/>
      <x:c r="J46" s="4"/>
      <x:c r="K46" s="4"/>
      <x:c r="L46" s="4"/>
      <x:c r="M46" s="4"/>
    </x:row>
    <x:row r="47">
      <x:c r="A47" s="79"/>
      <x:c r="C47" s="4" t="str">
        <x:v>Premium-synergy sensitivity base</x:v>
      </x:c>
      <x:c r="D47" s="76" t="n">
        <x:f>'Sensitivities'!F12</x:f>
        <x:v>-0.02346893443324094</x:v>
      </x:c>
      <x:c r="E47" s="76" t="n">
        <x:f>'Accretion-Dilution'!D17</x:f>
        <x:v>-0.02346893443324094</x:v>
      </x:c>
      <x:c r="F47" s="76" t="n">
        <x:f>D47-E47</x:f>
        <x:v>0</x:v>
      </x:c>
      <x:c r="G47" s="76" t="n">
        <x:v>0.0001</x:v>
      </x:c>
      <x:c r="H47" s="490" t="str">
        <x:f>IF(ABS(F47)&lt;=G47,"OK","ERROR")</x:f>
        <x:v>OK</x:v>
      </x:c>
      <x:c r="I47" s="4"/>
      <x:c r="J47" s="4"/>
      <x:c r="K47" s="4"/>
      <x:c r="L47" s="4"/>
      <x:c r="M47" s="4"/>
    </x:row>
    <x:row r="48">
      <x:c r="A48" s="79"/>
      <x:c r="C48" s="4" t="str">
        <x:v>Rate-synergy sensitivity base</x:v>
      </x:c>
      <x:c r="D48" s="76" t="n">
        <x:f>'Sensitivities'!F24</x:f>
        <x:v>-0.02346893443324094</x:v>
      </x:c>
      <x:c r="E48" s="76" t="n">
        <x:f>'Accretion-Dilution'!D17</x:f>
        <x:v>-0.02346893443324094</x:v>
      </x:c>
      <x:c r="F48" s="76" t="n">
        <x:f>D48-E48</x:f>
        <x:v>0</x:v>
      </x:c>
      <x:c r="G48" s="76" t="n">
        <x:v>0.0001</x:v>
      </x:c>
      <x:c r="H48" s="490" t="str">
        <x:f>IF(ABS(F48)&lt;=G48,"OK","ERROR")</x:f>
        <x:v>OK</x:v>
      </x:c>
      <x:c r="I48" s="4"/>
      <x:c r="J48" s="4"/>
      <x:c r="K48" s="4"/>
      <x:c r="L48" s="4"/>
      <x:c r="M48" s="4"/>
    </x:row>
    <x:row r="49">
      <x:c r="A49" s="79"/>
      <x:c r="C49" s="4" t="str">
        <x:v>Consideration sensitivity base</x:v>
      </x:c>
      <x:c r="D49" s="76" t="n">
        <x:f>'Sensitivities'!D36</x:f>
        <x:v>-0.02346893443324094</x:v>
      </x:c>
      <x:c r="E49" s="76" t="n">
        <x:f>'Accretion-Dilution'!D17</x:f>
        <x:v>-0.02346893443324094</x:v>
      </x:c>
      <x:c r="F49" s="76" t="n">
        <x:f>D49-E49</x:f>
        <x:v>0</x:v>
      </x:c>
      <x:c r="G49" s="76" t="n">
        <x:v>0.0001</x:v>
      </x:c>
      <x:c r="H49" s="490" t="str">
        <x:f>IF(ABS(F49)&lt;=G49,"OK","ERROR")</x:f>
        <x:v>OK</x:v>
      </x:c>
      <x:c r="I49" s="4"/>
      <x:c r="J49" s="4"/>
      <x:c r="K49" s="4"/>
      <x:c r="L49" s="4"/>
      <x:c r="M49" s="4"/>
    </x:row>
    <x:row r="50">
      <x:c r="A50" s="79"/>
      <x:c r="C50" s="4"/>
      <x:c r="D50" s="4"/>
      <x:c r="E50" s="4"/>
      <x:c r="F50" s="4"/>
      <x:c r="G50" s="4"/>
      <x:c r="H50" s="490"/>
      <x:c r="I50" s="4"/>
      <x:c r="J50" s="4"/>
      <x:c r="K50" s="4"/>
      <x:c r="L50" s="4"/>
      <x:c r="M50" s="4"/>
    </x:row>
    <x:row r="51">
      <x:c r="A51" s="79"/>
      <x:c r="C51" s="499" t="str">
        <x:v>Final workbook checks</x:v>
      </x:c>
      <x:c r="D51" s="500"/>
      <x:c r="E51" s="500"/>
      <x:c r="F51" s="500"/>
      <x:c r="G51" s="500"/>
      <x:c r="H51" s="509"/>
      <x:c r="I51" s="4"/>
      <x:c r="J51" s="4"/>
      <x:c r="K51" s="4"/>
      <x:c r="L51" s="4"/>
      <x:c r="M51" s="4"/>
    </x:row>
    <x:row r="52">
      <x:c r="A52" s="79"/>
      <x:c r="C52" s="4"/>
      <x:c r="D52" s="4"/>
      <x:c r="E52" s="4"/>
      <x:c r="F52" s="4"/>
      <x:c r="G52" s="4"/>
      <x:c r="H52" s="490"/>
      <x:c r="I52" s="4"/>
      <x:c r="J52" s="4"/>
      <x:c r="K52" s="4"/>
      <x:c r="L52" s="4"/>
      <x:c r="M52" s="4"/>
    </x:row>
    <x:row r="53">
      <x:c r="A53" s="79"/>
      <x:c r="C53" s="4" t="str">
        <x:v>All model schedules complete</x:v>
      </x:c>
      <x:c r="D53" s="4" t="n">
        <x:f>IF($D$15=0,1,0)</x:f>
        <x:v>1</x:v>
      </x:c>
      <x:c r="E53" s="4" t="n">
        <x:f>1</x:f>
        <x:v>1</x:v>
      </x:c>
      <x:c r="F53" s="4" t="n">
        <x:f>D53-E53</x:f>
        <x:v>0</x:v>
      </x:c>
      <x:c r="G53" s="4" t="n">
        <x:v>0</x:v>
      </x:c>
      <x:c r="H53" s="490" t="str">
        <x:f>IF(D53=E53,"OK","ERROR")</x:f>
        <x:v>OK</x:v>
      </x:c>
      <x:c r="I53" s="4"/>
      <x:c r="J53" s="4"/>
      <x:c r="K53" s="4"/>
      <x:c r="L53" s="4"/>
      <x:c r="M53" s="4"/>
    </x:row>
    <x:row r="54">
      <x:c r="A54" s="79"/>
      <x:c r="C54" s="4" t="str">
        <x:v>Source records documented</x:v>
      </x:c>
      <x:c r="D54" s="4" t="n">
        <x:f>COUNTA('Sources'!C7:C16)</x:f>
        <x:v>10</x:v>
      </x:c>
      <x:c r="E54" s="4" t="n">
        <x:f>10</x:f>
        <x:v>10</x:v>
      </x:c>
      <x:c r="F54" s="4" t="n">
        <x:f>D54-E54</x:f>
        <x:v>0</x:v>
      </x:c>
      <x:c r="G54" s="4" t="n">
        <x:v>0</x:v>
      </x:c>
      <x:c r="H54" s="490" t="str">
        <x:f>IF(D54=E54,"OK","ERROR")</x:f>
        <x:v>OK</x:v>
      </x:c>
      <x:c r="I54" s="4"/>
      <x:c r="J54" s="4"/>
      <x:c r="K54" s="4"/>
      <x:c r="L54" s="4"/>
      <x:c r="M54" s="4"/>
    </x:row>
    <x:row r="55">
      <x:c r="A55" s="79"/>
      <x:c r="C55" s="4" t="str">
        <x:v>Core transaction inputs valid</x:v>
      </x:c>
      <x:c r="D55" s="4" t="n">
        <x:f>IF(AND('Transaction Assumptions'!D8&gt;=0,'Transaction Assumptions'!D22&gt;0,'Transaction Assumptions'!D24&gt;0,'Transaction Assumptions'!D24&lt;1,'Transaction Assumptions'!D26&gt;=0),1,0)</x:f>
        <x:v>1</x:v>
      </x:c>
      <x:c r="E55" s="4" t="n">
        <x:f>1</x:f>
        <x:v>1</x:v>
      </x:c>
      <x:c r="F55" s="4" t="n">
        <x:f>D55-E55</x:f>
        <x:v>0</x:v>
      </x:c>
      <x:c r="G55" s="4" t="n">
        <x:v>0</x:v>
      </x:c>
      <x:c r="H55" s="490" t="str">
        <x:f>IF(D55=E55,"OK","ERROR")</x:f>
        <x:v>OK</x:v>
      </x:c>
      <x:c r="I55" s="4"/>
      <x:c r="J55" s="4"/>
      <x:c r="K55" s="4"/>
      <x:c r="L55" s="4"/>
      <x:c r="M55" s="4"/>
    </x:row>
    <x:row r="56">
      <x:c r="A56" s="79"/>
      <x:c r="C56" s="4" t="str">
        <x:v>Summary output tie</x:v>
      </x:c>
      <x:c r="D56" s="76" t="n">
        <x:f>'Cover &amp; Summary'!F44</x:f>
        <x:v>0.02043184257214259</x:v>
      </x:c>
      <x:c r="E56" s="76" t="n">
        <x:f>'Accretion-Dilution'!F17</x:f>
        <x:v>0.02043184257214259</x:v>
      </x:c>
      <x:c r="F56" s="76" t="n">
        <x:f>D56-E56</x:f>
        <x:v>0</x:v>
      </x:c>
      <x:c r="G56" s="76" t="n">
        <x:v>0.0001</x:v>
      </x:c>
      <x:c r="H56" s="490" t="str">
        <x:f>IF(ABS(F56)&lt;=G56,"OK","ERROR")</x:f>
        <x:v>OK</x:v>
      </x:c>
      <x:c r="I56" s="4"/>
      <x:c r="J56" s="4"/>
      <x:c r="K56" s="4"/>
      <x:c r="L56" s="4"/>
      <x:c r="M56" s="4"/>
    </x:row>
    <x:row r="57">
      <x:c r="A57" s="79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</x:row>
    <x:row r="58">
      <x:c r="A58" s="79"/>
      <x:c r="C58" s="516" t="str">
        <x:v>Deal-return and credit metric checks</x:v>
      </x:c>
      <x:c r="D58" s="517"/>
      <x:c r="E58" s="517"/>
      <x:c r="F58" s="517"/>
      <x:c r="G58" s="517"/>
      <x:c r="H58" s="518"/>
      <x:c r="I58" s="4"/>
      <x:c r="J58" s="4"/>
      <x:c r="K58" s="4"/>
      <x:c r="L58" s="4"/>
      <x:c r="M58" s="4"/>
    </x:row>
    <x:row r="59">
      <x:c r="A59" s="79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</x:row>
    <x:row r="60">
      <x:c r="A60" s="79"/>
      <x:c r="C60" s="4" t="str">
        <x:v>FY2028 gross debt reconciliation</x:v>
      </x:c>
      <x:c r="D60" s="338" t="n">
        <x:f>'Accretion-Dilution'!F48</x:f>
        <x:v>31291.620581450283</x:v>
      </x:c>
      <x:c r="E60" s="338" t="n">
        <x:f>'Buyer Financials'!F35+'Financing'!G13</x:f>
        <x:v>31291.620581450283</x:v>
      </x:c>
      <x:c r="F60" s="338" t="n">
        <x:f>D60-E60</x:f>
        <x:v>0</x:v>
      </x:c>
      <x:c r="G60" s="338" t="n">
        <x:v>0.1</x:v>
      </x:c>
      <x:c r="H60" s="490" t="str">
        <x:f>IF(ABS(F60)&lt;=G60,"OK","ERROR")</x:f>
        <x:v>OK</x:v>
      </x:c>
      <x:c r="I60" s="4"/>
      <x:c r="J60" s="4"/>
      <x:c r="K60" s="4"/>
      <x:c r="L60" s="4"/>
      <x:c r="M60" s="4"/>
    </x:row>
    <x:row r="61">
      <x:c r="A61" s="79"/>
      <x:c r="C61" s="4" t="str">
        <x:v>FY2028 net debt reconciliation</x:v>
      </x:c>
      <x:c r="D61" s="338" t="n">
        <x:f>'Accretion-Dilution'!F49</x:f>
        <x:v>27404.620581450283</x:v>
      </x:c>
      <x:c r="E61" s="338" t="n">
        <x:f>'Accretion-Dilution'!F48-MAX(0,'Buyer Financials'!F26-'Transaction Assumptions'!D19)</x:f>
        <x:v>27404.620581450283</x:v>
      </x:c>
      <x:c r="F61" s="338" t="n">
        <x:f>D61-E61</x:f>
        <x:v>0</x:v>
      </x:c>
      <x:c r="G61" s="338" t="n">
        <x:v>0.1</x:v>
      </x:c>
      <x:c r="H61" s="490" t="str">
        <x:f>IF(ABS(F61)&lt;=G61,"OK","ERROR")</x:f>
        <x:v>OK</x:v>
      </x:c>
      <x:c r="I61" s="4"/>
      <x:c r="J61" s="4"/>
      <x:c r="K61" s="4"/>
      <x:c r="L61" s="4"/>
      <x:c r="M61" s="4"/>
    </x:row>
    <x:row r="62">
      <x:c r="A62" s="79"/>
      <x:c r="C62" s="4" t="str">
        <x:v>FY2028 incremental ROIC reconciliation</x:v>
      </x:c>
      <x:c r="D62" s="76" t="n">
        <x:f>'Accretion-Dilution'!F57</x:f>
        <x:v>0.06532725877523561</x:v>
      </x:c>
      <x:c r="E62" s="76" t="n">
        <x:f>('Accretion-Dilution'!F55+'Accretion-Dilution'!F56)/'Transaction Valuation'!D24</x:f>
        <x:v>0.06532725877523561</x:v>
      </x:c>
      <x:c r="F62" s="76" t="n">
        <x:f>D62-E62</x:f>
        <x:v>0</x:v>
      </x:c>
      <x:c r="G62" s="76" t="n">
        <x:v>0.0001</x:v>
      </x:c>
      <x:c r="H62" s="490" t="str">
        <x:f>IF(ABS(F62)&lt;=G62,"OK","ERROR")</x:f>
        <x:v>OK</x:v>
      </x:c>
      <x:c r="I62" s="4"/>
      <x:c r="J62" s="4"/>
      <x:c r="K62" s="4"/>
      <x:c r="L62" s="4"/>
      <x:c r="M62" s="4"/>
    </x:row>
    <x:row r="63">
      <x:c r="A63" s="79"/>
      <x:c r="C63" s="4" t="str">
        <x:v>FY2028 EPS accretion link</x:v>
      </x:c>
      <x:c r="D63" s="76" t="n">
        <x:f>'Accretion-Dilution'!F60</x:f>
        <x:v>0.02043184257214259</x:v>
      </x:c>
      <x:c r="E63" s="76" t="n">
        <x:f>'Accretion-Dilution'!F17</x:f>
        <x:v>0.02043184257214259</x:v>
      </x:c>
      <x:c r="F63" s="76" t="n">
        <x:f>D63-E63</x:f>
        <x:v>0</x:v>
      </x:c>
      <x:c r="G63" s="76" t="n">
        <x:v>0.0001</x:v>
      </x:c>
      <x:c r="H63" s="490" t="str">
        <x:f>IF(ABS(F63)&lt;=G63,"OK","ERROR")</x:f>
        <x:v>OK</x:v>
      </x:c>
      <x:c r="I63" s="4"/>
      <x:c r="J63" s="4"/>
      <x:c r="K63" s="4"/>
      <x:c r="L63" s="4"/>
      <x:c r="M63" s="4"/>
    </x:row>
    <x:row r="64">
      <x:c r="A64" s="79"/>
      <x:c r="C64" s="4" t="str">
        <x:v>FY2028 breakeven offer price positive</x:v>
      </x:c>
      <x:c r="D64" s="4" t="n">
        <x:f>IF('Accretion-Dilution'!F62&gt;0,1,0)</x:f>
        <x:v>1</x:v>
      </x:c>
      <x:c r="E64" s="4" t="n">
        <x:v>1</x:v>
      </x:c>
      <x:c r="F64" s="4" t="n">
        <x:f>D64-E64</x:f>
        <x:v>0</x:v>
      </x:c>
      <x:c r="G64" s="4" t="n">
        <x:v>0</x:v>
      </x:c>
      <x:c r="H64" s="490" t="str">
        <x:f>IF(ABS(F64)&lt;=G64,"OK","ERROR")</x:f>
        <x:v>OK</x:v>
      </x:c>
      <x:c r="I64" s="4"/>
      <x:c r="J64" s="4"/>
      <x:c r="K64" s="4"/>
      <x:c r="L64" s="4"/>
      <x:c r="M64" s="4"/>
    </x:row>
    <x:row r="65">
      <x:c r="A65" s="79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</x:row>
    <x:row r="66">
      <x:c r="A66" s="79"/>
      <x:c r="C66" s="550" t="str">
        <x:v>Step 14 sensitivity checks</x:v>
      </x:c>
      <x:c r="D66" s="551"/>
      <x:c r="E66" s="551"/>
      <x:c r="F66" s="551"/>
      <x:c r="G66" s="551"/>
      <x:c r="H66" s="552"/>
      <x:c r="I66" s="4"/>
      <x:c r="J66" s="4"/>
      <x:c r="K66" s="4"/>
      <x:c r="L66" s="4"/>
      <x:c r="M66" s="4"/>
    </x:row>
    <x:row r="67">
      <x:c r="A67" s="79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</x:row>
    <x:row r="68">
      <x:c r="A68" s="79"/>
      <x:c r="C68" s="4" t="str">
        <x:v>Premium-synergy FY2027 base</x:v>
      </x:c>
      <x:c r="D68" s="76" t="n">
        <x:f>'Sensitivities'!M12</x:f>
        <x:v>-0.00833383652045383</x:v>
      </x:c>
      <x:c r="E68" s="76" t="n">
        <x:f>'Accretion-Dilution'!E17</x:f>
        <x:v>-0.00833383652045383</x:v>
      </x:c>
      <x:c r="F68" s="76" t="n">
        <x:f>D68-E68</x:f>
        <x:v>0</x:v>
      </x:c>
      <x:c r="G68" s="76" t="n">
        <x:v>0.0001</x:v>
      </x:c>
      <x:c r="H68" s="490" t="str">
        <x:f>IF(ABS(F68)&lt;=G68,"OK","ERROR")</x:f>
        <x:v>OK</x:v>
      </x:c>
      <x:c r="I68" s="4"/>
      <x:c r="J68" s="4"/>
      <x:c r="K68" s="4"/>
      <x:c r="L68" s="4"/>
      <x:c r="M68" s="4"/>
    </x:row>
    <x:row r="69">
      <x:c r="A69" s="79"/>
      <x:c r="C69" s="4" t="str">
        <x:v>Rate-synergy FY2027 base</x:v>
      </x:c>
      <x:c r="D69" s="76" t="n">
        <x:f>'Sensitivities'!M24</x:f>
        <x:v>-0.00833383652045383</x:v>
      </x:c>
      <x:c r="E69" s="76" t="n">
        <x:f>'Accretion-Dilution'!E17</x:f>
        <x:v>-0.00833383652045383</x:v>
      </x:c>
      <x:c r="F69" s="76" t="n">
        <x:f>D69-E69</x:f>
        <x:v>0</x:v>
      </x:c>
      <x:c r="G69" s="76" t="n">
        <x:v>0.0001</x:v>
      </x:c>
      <x:c r="H69" s="490" t="str">
        <x:f>IF(ABS(F69)&lt;=G69,"OK","ERROR")</x:f>
        <x:v>OK</x:v>
      </x:c>
      <x:c r="I69" s="4"/>
      <x:c r="J69" s="4"/>
      <x:c r="K69" s="4"/>
      <x:c r="L69" s="4"/>
      <x:c r="M69" s="4"/>
    </x:row>
    <x:row r="70">
      <x:c r="A70" s="79"/>
      <x:c r="C70" s="4" t="str">
        <x:v>Funding mix FY2026 base</x:v>
      </x:c>
      <x:c r="D70" s="76" t="n">
        <x:f>'Sensitivities'!D36</x:f>
        <x:v>-0.02346893443324094</x:v>
      </x:c>
      <x:c r="E70" s="76" t="n">
        <x:f>'Accretion-Dilution'!D17</x:f>
        <x:v>-0.02346893443324094</x:v>
      </x:c>
      <x:c r="F70" s="76" t="n">
        <x:f>D70-E70</x:f>
        <x:v>0</x:v>
      </x:c>
      <x:c r="G70" s="76" t="n">
        <x:v>0.0001</x:v>
      </x:c>
      <x:c r="H70" s="490" t="str">
        <x:f>IF(ABS(F70)&lt;=G70,"OK","ERROR")</x:f>
        <x:v>OK</x:v>
      </x:c>
      <x:c r="I70" s="4"/>
      <x:c r="J70" s="4"/>
      <x:c r="K70" s="4"/>
      <x:c r="L70" s="4"/>
      <x:c r="M70" s="4"/>
    </x:row>
    <x:row r="71">
      <x:c r="A71" s="79"/>
      <x:c r="C71" s="4" t="str">
        <x:v>Funding mix FY2027 base</x:v>
      </x:c>
      <x:c r="D71" s="76" t="n">
        <x:f>'Sensitivities'!K36</x:f>
        <x:v>-0.00833383652045383</x:v>
      </x:c>
      <x:c r="E71" s="76" t="n">
        <x:f>'Accretion-Dilution'!E17</x:f>
        <x:v>-0.00833383652045383</x:v>
      </x:c>
      <x:c r="F71" s="76" t="n">
        <x:f>D71-E71</x:f>
        <x:v>0</x:v>
      </x:c>
      <x:c r="G71" s="76" t="n">
        <x:v>0.0001</x:v>
      </x:c>
      <x:c r="H71" s="490" t="str">
        <x:f>IF(ABS(F71)&lt;=G71,"OK","ERROR")</x:f>
        <x:v>OK</x:v>
      </x:c>
      <x:c r="I71" s="4"/>
      <x:c r="J71" s="4"/>
      <x:c r="K71" s="4"/>
      <x:c r="L71" s="4"/>
      <x:c r="M71" s="4"/>
    </x:row>
    <x:row r="72">
      <x:c r="A72" s="79"/>
      <x:c r="C72" s="4" t="str">
        <x:v>Target growth FY2026 base</x:v>
      </x:c>
      <x:c r="D72" s="76" t="n">
        <x:f>'Sensitivities'!F60</x:f>
        <x:v>-0.02346893443324094</x:v>
      </x:c>
      <x:c r="E72" s="76" t="n">
        <x:f>'Accretion-Dilution'!D17</x:f>
        <x:v>-0.02346893443324094</x:v>
      </x:c>
      <x:c r="F72" s="76" t="n">
        <x:f>D72-E72</x:f>
        <x:v>0</x:v>
      </x:c>
      <x:c r="G72" s="76" t="n">
        <x:v>0.0001</x:v>
      </x:c>
      <x:c r="H72" s="490" t="str">
        <x:f>IF(ABS(F72)&lt;=G72,"OK","ERROR")</x:f>
        <x:v>OK</x:v>
      </x:c>
      <x:c r="I72" s="4"/>
      <x:c r="J72" s="4"/>
      <x:c r="K72" s="4"/>
      <x:c r="L72" s="4"/>
      <x:c r="M72" s="4"/>
    </x:row>
    <x:row r="73">
      <x:c r="A73" s="79"/>
      <x:c r="C73" s="4" t="str">
        <x:v>Target growth FY2027 base</x:v>
      </x:c>
      <x:c r="D73" s="76" t="n">
        <x:f>'Sensitivities'!M60</x:f>
        <x:v>-0.00833383652045383</x:v>
      </x:c>
      <x:c r="E73" s="76" t="n">
        <x:f>'Accretion-Dilution'!E17</x:f>
        <x:v>-0.00833383652045383</x:v>
      </x:c>
      <x:c r="F73" s="76" t="n">
        <x:f>D73-E73</x:f>
        <x:v>0</x:v>
      </x:c>
      <x:c r="G73" s="76" t="n">
        <x:v>0.0001</x:v>
      </x:c>
      <x:c r="H73" s="490" t="str">
        <x:f>IF(ABS(F73)&lt;=G73,"OK","ERROR")</x:f>
        <x:v>OK</x:v>
      </x:c>
      <x:c r="I73" s="4"/>
      <x:c r="J73" s="4"/>
      <x:c r="K73" s="4"/>
      <x:c r="L73" s="4"/>
      <x:c r="M73" s="4"/>
    </x:row>
    <x:row r="74">
      <x:c r="A74" s="79"/>
      <x:c r="C74" s="4" t="str">
        <x:v>Closing-date FY2026 selected base</x:v>
      </x:c>
      <x:c r="D74" s="76" t="n">
        <x:f>'Sensitivities'!F72</x:f>
        <x:v>-0.02346893443324094</x:v>
      </x:c>
      <x:c r="E74" s="76" t="n">
        <x:f>'Accretion-Dilution'!D17</x:f>
        <x:v>-0.02346893443324094</x:v>
      </x:c>
      <x:c r="F74" s="76" t="n">
        <x:f>D74-E74</x:f>
        <x:v>0</x:v>
      </x:c>
      <x:c r="G74" s="76" t="n">
        <x:v>0.0001</x:v>
      </x:c>
      <x:c r="H74" s="490" t="str">
        <x:f>IF(ABS(F74)&lt;=G74,"OK","ERROR")</x:f>
        <x:v>OK</x:v>
      </x:c>
      <x:c r="I74" s="4"/>
      <x:c r="J74" s="4"/>
      <x:c r="K74" s="4"/>
      <x:c r="L74" s="4"/>
      <x:c r="M74" s="4"/>
    </x:row>
    <x:row r="75">
      <x:c r="A75" s="79"/>
      <x:c r="C75" s="4" t="str">
        <x:v>Closing-date FY2027 full-year base</x:v>
      </x:c>
      <x:c r="D75" s="76" t="n">
        <x:f>'Sensitivities'!K72</x:f>
        <x:v>-0.00833383652045383</x:v>
      </x:c>
      <x:c r="E75" s="76" t="n">
        <x:f>'Accretion-Dilution'!E17</x:f>
        <x:v>-0.00833383652045383</x:v>
      </x:c>
      <x:c r="F75" s="76" t="n">
        <x:f>D75-E75</x:f>
        <x:v>0</x:v>
      </x:c>
      <x:c r="G75" s="76" t="n">
        <x:v>0.0001</x:v>
      </x:c>
      <x:c r="H75" s="490" t="str">
        <x:f>IF(ABS(F75)&lt;=G75,"OK","ERROR")</x:f>
        <x:v>OK</x:v>
      </x:c>
      <x:c r="I75" s="4"/>
      <x:c r="J75" s="4"/>
      <x:c r="K75" s="4"/>
      <x:c r="L75" s="4"/>
      <x:c r="M75" s="4"/>
    </x:row>
    <x:row r="76">
      <x:c r="A76" s="79"/>
      <x:c r="C76" s="4" t="str">
        <x:v>Breakeven offer-price link</x:v>
      </x:c>
      <x:c r="D76" s="27" t="n">
        <x:f>'Sensitivities'!E81</x:f>
        <x:v>62.14514140865754</x:v>
      </x:c>
      <x:c r="E76" s="27" t="n">
        <x:f>'Accretion-Dilution'!E62</x:f>
        <x:v>62.14514140865754</x:v>
      </x:c>
      <x:c r="F76" s="27" t="n">
        <x:f>D76-E76</x:f>
        <x:v>0</x:v>
      </x:c>
      <x:c r="G76" s="27" t="n">
        <x:v>0.0001</x:v>
      </x:c>
      <x:c r="H76" s="490" t="str">
        <x:f>IF(ABS(F76)&lt;=G76,"OK","ERROR")</x:f>
        <x:v>OK</x:v>
      </x:c>
      <x:c r="I76" s="4"/>
      <x:c r="J76" s="4"/>
      <x:c r="K76" s="4"/>
      <x:c r="L76" s="4"/>
      <x:c r="M76" s="4"/>
    </x:row>
    <x:row r="77">
      <x:c r="A77" s="79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</x:row>
    <x:row r="78">
      <x:c r="A78" s="79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</x:row>
    <x:row r="79">
      <x:c r="A79" s="79"/>
      <x:c r="C79" s="570" t="str">
        <x:v>Step 15 scenario checks</x:v>
      </x:c>
      <x:c r="D79" s="571"/>
      <x:c r="E79" s="571"/>
      <x:c r="F79" s="571"/>
      <x:c r="G79" s="571"/>
      <x:c r="H79" s="572"/>
      <x:c r="I79" s="4"/>
      <x:c r="J79" s="4"/>
      <x:c r="K79" s="4"/>
      <x:c r="L79" s="4"/>
      <x:c r="M79" s="4"/>
    </x:row>
    <x:row r="80">
      <x:c r="A80" s="79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</x:row>
    <x:row r="81">
      <x:c r="A81" s="79"/>
      <x:c r="C81" s="4" t="str">
        <x:v>Scenario selector valid</x:v>
      </x:c>
      <x:c r="D81" s="603" t="n">
        <x:f>IF(OR('Standalone Forecasts'!D6="Base",'Standalone Forecasts'!D6="Downside",'Standalone Forecasts'!D6="Upside"),1,0)</x:f>
        <x:v>1</x:v>
      </x:c>
      <x:c r="E81" s="603" t="n">
        <x:f>1</x:f>
        <x:v>1</x:v>
      </x:c>
      <x:c r="F81" s="603" t="n">
        <x:f>D81-E81</x:f>
        <x:v>0</x:v>
      </x:c>
      <x:c r="G81" s="603" t="n">
        <x:v>0.0001</x:v>
      </x:c>
      <x:c r="H81" s="490" t="str">
        <x:f>IF(ABS(F81)&lt;=G81,"OK","ERROR")</x:f>
        <x:v>OK</x:v>
      </x:c>
      <x:c r="I81" s="4"/>
      <x:c r="J81" s="4"/>
      <x:c r="K81" s="4"/>
      <x:c r="L81" s="4"/>
      <x:c r="M81" s="4"/>
    </x:row>
    <x:row r="82">
      <x:c r="A82" s="79"/>
      <x:c r="C82" s="4" t="str">
        <x:v>Selected synergies linked</x:v>
      </x:c>
      <x:c r="D82" s="603" t="n">
        <x:f>'Transaction Assumptions'!D26</x:f>
        <x:v>265</x:v>
      </x:c>
      <x:c r="E82" s="603" t="n">
        <x:f>'Transaction Assumptions'!G85</x:f>
        <x:v>265</x:v>
      </x:c>
      <x:c r="F82" s="603" t="n">
        <x:f>D82-E82</x:f>
        <x:v>0</x:v>
      </x:c>
      <x:c r="G82" s="603" t="n">
        <x:v>0.0001</x:v>
      </x:c>
      <x:c r="H82" s="490" t="str">
        <x:f>IF(ABS(F82)&lt;=G82,"OK","ERROR")</x:f>
        <x:v>OK</x:v>
      </x:c>
      <x:c r="I82" s="4"/>
      <x:c r="J82" s="4"/>
      <x:c r="K82" s="4"/>
      <x:c r="L82" s="4"/>
      <x:c r="M82" s="4"/>
    </x:row>
    <x:row r="83">
      <x:c r="A83" s="79"/>
      <x:c r="C83" s="4" t="str">
        <x:v>Selected FY2026 phase-in linked</x:v>
      </x:c>
      <x:c r="D83" s="603" t="n">
        <x:f>'Transaction Assumptions'!D27</x:f>
        <x:v>0.35</x:v>
      </x:c>
      <x:c r="E83" s="603" t="n">
        <x:f>'Transaction Assumptions'!G86</x:f>
        <x:v>0.35</x:v>
      </x:c>
      <x:c r="F83" s="603" t="n">
        <x:f>D83-E83</x:f>
        <x:v>0</x:v>
      </x:c>
      <x:c r="G83" s="603" t="n">
        <x:v>0.0001</x:v>
      </x:c>
      <x:c r="H83" s="490" t="str">
        <x:f>IF(ABS(F83)&lt;=G83,"OK","ERROR")</x:f>
        <x:v>OK</x:v>
      </x:c>
      <x:c r="I83" s="4"/>
      <x:c r="J83" s="4"/>
      <x:c r="K83" s="4"/>
      <x:c r="L83" s="4"/>
      <x:c r="M83" s="4"/>
    </x:row>
    <x:row r="84">
      <x:c r="A84" s="79"/>
      <x:c r="C84" s="4" t="str">
        <x:v>Selected interest rate linked</x:v>
      </x:c>
      <x:c r="D84" s="603" t="n">
        <x:f>'Transaction Assumptions'!D22</x:f>
        <x:v>0.0575</x:v>
      </x:c>
      <x:c r="E84" s="603" t="n">
        <x:f>'Transaction Assumptions'!G89</x:f>
        <x:v>0.0575</x:v>
      </x:c>
      <x:c r="F84" s="603" t="n">
        <x:f>D84-E84</x:f>
        <x:v>0</x:v>
      </x:c>
      <x:c r="G84" s="603" t="n">
        <x:v>0.0001</x:v>
      </x:c>
      <x:c r="H84" s="490" t="str">
        <x:f>IF(ABS(F84)&lt;=G84,"OK","ERROR")</x:f>
        <x:v>OK</x:v>
      </x:c>
      <x:c r="I84" s="4"/>
      <x:c r="J84" s="4"/>
      <x:c r="K84" s="4"/>
      <x:c r="L84" s="4"/>
      <x:c r="M84" s="4"/>
    </x:row>
    <x:row r="85">
      <x:c r="A85" s="79"/>
      <x:c r="C85" s="4" t="str">
        <x:v>Selected integration multiple linked</x:v>
      </x:c>
      <x:c r="D85" s="603" t="n">
        <x:f>'Transaction Assumptions'!D30</x:f>
        <x:v>1.5</x:v>
      </x:c>
      <x:c r="E85" s="603" t="n">
        <x:f>'Transaction Assumptions'!G90</x:f>
        <x:v>1.5</x:v>
      </x:c>
      <x:c r="F85" s="603" t="n">
        <x:f>D85-E85</x:f>
        <x:v>0</x:v>
      </x:c>
      <x:c r="G85" s="603" t="n">
        <x:v>0.0001</x:v>
      </x:c>
      <x:c r="H85" s="490" t="str">
        <x:f>IF(ABS(F85)&lt;=G85,"OK","ERROR")</x:f>
        <x:v>OK</x:v>
      </x:c>
      <x:c r="I85" s="4"/>
      <x:c r="J85" s="4"/>
      <x:c r="K85" s="4"/>
      <x:c r="L85" s="4"/>
      <x:c r="M85" s="4"/>
    </x:row>
    <x:row r="86">
      <x:c r="A86" s="79"/>
      <x:c r="C86" s="4" t="str">
        <x:v>Selected close date linked</x:v>
      </x:c>
      <x:c r="D86" s="604" t="n">
        <x:f>'Transaction Assumptions'!D31</x:f>
        <x:v>46203</x:v>
      </x:c>
      <x:c r="E86" s="604" t="n">
        <x:f>'Transaction Assumptions'!G91</x:f>
        <x:v>46203</x:v>
      </x:c>
      <x:c r="F86" s="604" t="n">
        <x:f>D86-E86</x:f>
        <x:v>0</x:v>
      </x:c>
      <x:c r="G86" s="604" t="n">
        <x:v>1</x:v>
      </x:c>
      <x:c r="H86" s="490" t="str">
        <x:f>IF(ABS(F86)&lt;=G86,"OK","ERROR")</x:f>
        <x:v>OK</x:v>
      </x:c>
      <x:c r="I86" s="4"/>
      <x:c r="J86" s="4"/>
      <x:c r="K86" s="4"/>
      <x:c r="L86" s="4"/>
      <x:c r="M86" s="4"/>
    </x:row>
    <x:row r="87">
      <x:c r="A87" s="79"/>
      <x:c r="C87" s="4" t="str">
        <x:v>FY2026 ownership factor linked</x:v>
      </x:c>
      <x:c r="D87" s="603" t="n">
        <x:f>'Pro Forma Income Statement'!D20</x:f>
        <x:v>0.5068493150684932</x:v>
      </x:c>
      <x:c r="E87" s="603" t="n">
        <x:f>'Transaction Assumptions'!G92</x:f>
        <x:v>0.5068493150684932</x:v>
      </x:c>
      <x:c r="F87" s="603" t="n">
        <x:f>D87-E87</x:f>
        <x:v>0</x:v>
      </x:c>
      <x:c r="G87" s="603" t="n">
        <x:v>0.0001</x:v>
      </x:c>
      <x:c r="H87" s="490" t="str">
        <x:f>IF(ABS(F87)&lt;=G87,"OK","ERROR")</x:f>
        <x:v>OK</x:v>
      </x:c>
      <x:c r="I87" s="4"/>
      <x:c r="J87" s="4"/>
      <x:c r="K87" s="4"/>
      <x:c r="L87" s="4"/>
      <x:c r="M87" s="4"/>
    </x:row>
    <x:row r="88">
      <x:c r="A88" s="79"/>
      <x:c r="C88" s="4" t="str">
        <x:v>Target growth uses same selector</x:v>
      </x:c>
      <x:c r="D88" s="603" t="n">
        <x:f>'Standalone Forecasts'!G89</x:f>
        <x:v>0.045</x:v>
      </x:c>
      <x:c r="E88" s="603" t="n">
        <x:f>INDEX('Standalone Forecasts'!G72:G74,MATCH('Standalone Forecasts'!D6,'Standalone Forecasts'!D72:D74,0))</x:f>
        <x:v>0.045</x:v>
      </x:c>
      <x:c r="F88" s="603" t="n">
        <x:f>D88-E88</x:f>
        <x:v>0</x:v>
      </x:c>
      <x:c r="G88" s="603" t="n">
        <x:v>0.0001</x:v>
      </x:c>
      <x:c r="H88" s="490" t="str">
        <x:f>IF(ABS(F88)&lt;=G88,"OK","ERROR")</x:f>
        <x:v>OK</x:v>
      </x:c>
      <x:c r="I88" s="4"/>
      <x:c r="J88" s="4"/>
      <x:c r="K88" s="4"/>
      <x:c r="L88" s="4"/>
      <x:c r="M88" s="4"/>
    </x:row>
    <x:row r="89">
      <x:c r="A89" s="79"/>
      <x:c r="C89" s="4" t="str">
        <x:v>Base case preserves original synergy assumption</x:v>
      </x:c>
      <x:c r="D89" s="603" t="n">
        <x:f>'Transaction Assumptions'!E85</x:f>
        <x:v>265</x:v>
      </x:c>
      <x:c r="E89" s="603" t="n">
        <x:f>265</x:f>
        <x:v>265</x:v>
      </x:c>
      <x:c r="F89" s="603" t="n">
        <x:f>D89-E89</x:f>
        <x:v>0</x:v>
      </x:c>
      <x:c r="G89" s="603" t="n">
        <x:v>0.0001</x:v>
      </x:c>
      <x:c r="H89" s="490" t="str">
        <x:f>IF(ABS(F89)&lt;=G89,"OK","ERROR")</x:f>
        <x:v>OK</x:v>
      </x:c>
      <x:c r="I89" s="4"/>
      <x:c r="J89" s="4"/>
      <x:c r="K89" s="4"/>
      <x:c r="L89" s="4"/>
      <x:c r="M89" s="4"/>
    </x:row>
    <x:row r="90">
      <x:c r="A90" s="79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</x:row>
    <x:row r="91">
      <x:c r="A91" s="79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>
      <x:c r="A92" s="79"/>
      <x:c r="C92" s="607" t="str">
        <x:v>Required model integrity checks</x:v>
      </x:c>
      <x:c r="D92" s="608"/>
      <x:c r="E92" s="608"/>
      <x:c r="F92" s="608"/>
      <x:c r="G92" s="608"/>
      <x:c r="H92" s="609"/>
      <x:c r="I92" s="4"/>
      <x:c r="J92" s="4"/>
      <x:c r="K92" s="4"/>
      <x:c r="L92" s="4"/>
      <x:c r="M92" s="4"/>
    </x:row>
    <x:row r="93">
      <x:c r="A93" s="79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79"/>
      <x:c r="C94" s="4" t="str">
        <x:v>Sources equal uses</x:v>
      </x:c>
      <x:c r="D94" s="610" t="n">
        <x:f>'Sources &amp; Uses'!D22</x:f>
        <x:v>0</x:v>
      </x:c>
      <x:c r="E94" s="610" t="n">
        <x:v>0</x:v>
      </x:c>
      <x:c r="F94" s="610" t="n">
        <x:f>D94-E94</x:f>
        <x:v>0</x:v>
      </x:c>
      <x:c r="G94" s="610" t="n">
        <x:v>0.1</x:v>
      </x:c>
      <x:c r="H94" s="490" t="str">
        <x:f>IF(ABS(F94)&lt;=G94,"OK","ERROR")</x:f>
        <x:v>OK</x:v>
      </x:c>
      <x:c r="I94" s="4"/>
      <x:c r="J94" s="4"/>
      <x:c r="K94" s="4"/>
      <x:c r="L94" s="4"/>
      <x:c r="M94" s="4"/>
    </x:row>
    <x:row r="95">
      <x:c r="A95" s="79"/>
      <x:c r="C95" s="4" t="str">
        <x:v>Purchase-price allocation balances</x:v>
      </x:c>
      <x:c r="D95" s="610" t="n">
        <x:f>'Purchase Accounting'!D29</x:f>
        <x:v>0</x:v>
      </x:c>
      <x:c r="E95" s="610" t="n">
        <x:v>0</x:v>
      </x:c>
      <x:c r="F95" s="610" t="n">
        <x:f>D95-E95</x:f>
        <x:v>0</x:v>
      </x:c>
      <x:c r="G95" s="610" t="n">
        <x:v>0.1</x:v>
      </x:c>
      <x:c r="H95" s="490" t="str">
        <x:f>IF(ABS(F95)&lt;=G95,"OK","ERROR")</x:f>
        <x:v>OK</x:v>
      </x:c>
      <x:c r="I95" s="4"/>
      <x:c r="J95" s="4"/>
      <x:c r="K95" s="4"/>
      <x:c r="L95" s="4"/>
      <x:c r="M95" s="4"/>
    </x:row>
    <x:row r="96">
      <x:c r="A96" s="79"/>
      <x:c r="C96" s="4" t="str">
        <x:v>Pro forma shares reconcile</x:v>
      </x:c>
      <x:c r="D96" s="610" t="n">
        <x:f>MAX(ABS('Pro Forma Income Statement'!D37-'Pro Forma Income Statement'!D35-'Pro Forma Income Statement'!D36),ABS('Pro Forma Income Statement'!E37-'Pro Forma Income Statement'!E35-'Pro Forma Income Statement'!E36),ABS('Pro Forma Income Statement'!F37-'Pro Forma Income Statement'!F35-'Pro Forma Income Statement'!F36))</x:f>
        <x:v>0</x:v>
      </x:c>
      <x:c r="E96" s="610" t="n">
        <x:v>0</x:v>
      </x:c>
      <x:c r="F96" s="610" t="n">
        <x:f>D96-E96</x:f>
        <x:v>0</x:v>
      </x:c>
      <x:c r="G96" s="610" t="n">
        <x:v>0.001</x:v>
      </x:c>
      <x:c r="H96" s="490" t="str">
        <x:f>IF(ABS(F96)&lt;=G96,"OK","ERROR")</x:f>
        <x:v>OK</x:v>
      </x:c>
      <x:c r="I96" s="4"/>
      <x:c r="J96" s="4"/>
      <x:c r="K96" s="4"/>
      <x:c r="L96" s="4"/>
      <x:c r="M96" s="4"/>
    </x:row>
    <x:row r="97">
      <x:c r="A97" s="79"/>
      <x:c r="C97" s="4" t="str">
        <x:v>Consideration percentages equal 100%</x:v>
      </x:c>
      <x:c r="D97" s="610" t="n">
        <x:f>'Sources &amp; Uses'!D38+'Sources &amp; Uses'!D39-1</x:f>
        <x:v>0</x:v>
      </x:c>
      <x:c r="E97" s="610" t="n">
        <x:v>0</x:v>
      </x:c>
      <x:c r="F97" s="610" t="n">
        <x:f>D97-E97</x:f>
        <x:v>0</x:v>
      </x:c>
      <x:c r="G97" s="610" t="n">
        <x:v>0.0001</x:v>
      </x:c>
      <x:c r="H97" s="490" t="str">
        <x:f>IF(ABS(F97)&lt;=G97,"OK","ERROR")</x:f>
        <x:v>OK</x:v>
      </x:c>
      <x:c r="I97" s="4"/>
      <x:c r="J97" s="4"/>
      <x:c r="K97" s="4"/>
      <x:c r="L97" s="4"/>
      <x:c r="M97" s="4"/>
    </x:row>
    <x:row r="98">
      <x:c r="A98" s="79"/>
      <x:c r="C98" s="4" t="str">
        <x:v>Debt schedule rolls correctly</x:v>
      </x:c>
      <x:c r="D98" s="610" t="n">
        <x:f>MAX(ABS('Financing'!E13-SUM('Financing'!E9:E12)),ABS('Financing'!F13-SUM('Financing'!F9:F12)),ABS('Financing'!G13-SUM('Financing'!G9:G12)))</x:f>
        <x:v>0</x:v>
      </x:c>
      <x:c r="E98" s="610" t="n">
        <x:v>0</x:v>
      </x:c>
      <x:c r="F98" s="610" t="n">
        <x:f>D98-E98</x:f>
        <x:v>0</x:v>
      </x:c>
      <x:c r="G98" s="610" t="n">
        <x:v>0.1</x:v>
      </x:c>
      <x:c r="H98" s="490" t="str">
        <x:f>IF(ABS(F98)&lt;=G98,"OK","ERROR")</x:f>
        <x:v>OK</x:v>
      </x:c>
      <x:c r="I98" s="4"/>
      <x:c r="J98" s="4"/>
      <x:c r="K98" s="4"/>
      <x:c r="L98" s="4"/>
      <x:c r="M98" s="4"/>
    </x:row>
    <x:row r="99">
      <x:c r="A99" s="79"/>
      <x:c r="C99" s="4" t="str">
        <x:v>Goodwill calculation consistent</x:v>
      </x:c>
      <x:c r="D99" s="610" t="n">
        <x:f>'Purchase Accounting'!D27-('Purchase Accounting'!D9-'Purchase Accounting'!D26)</x:f>
        <x:v>0</x:v>
      </x:c>
      <x:c r="E99" s="610" t="n">
        <x:v>0</x:v>
      </x:c>
      <x:c r="F99" s="610" t="n">
        <x:f>D99-E99</x:f>
        <x:v>0</x:v>
      </x:c>
      <x:c r="G99" s="610" t="n">
        <x:v>0.1</x:v>
      </x:c>
      <x:c r="H99" s="490" t="str">
        <x:f>IF(ABS(F99)&lt;=G99,"OK","ERROR")</x:f>
        <x:v>OK</x:v>
      </x:c>
      <x:c r="I99" s="4"/>
      <x:c r="J99" s="4"/>
      <x:c r="K99" s="4"/>
      <x:c r="L99" s="4"/>
      <x:c r="M99" s="4"/>
    </x:row>
    <x:row r="100">
      <x:c r="A100" s="79"/>
      <x:c r="C100" s="4" t="str">
        <x:v>Synergy phase-in does not exceed 100%</x:v>
      </x:c>
      <x:c r="D100" s="610" t="n">
        <x:f>MAX('Transaction Assumptions'!D27:D29)-1</x:f>
        <x:v>0</x:v>
      </x:c>
      <x:c r="E100" s="610" t="n">
        <x:v>0</x:v>
      </x:c>
      <x:c r="F100" s="610" t="n">
        <x:f>D100-E100</x:f>
        <x:v>0</x:v>
      </x:c>
      <x:c r="G100" s="610" t="n">
        <x:v>0.0001</x:v>
      </x:c>
      <x:c r="H100" s="490" t="str">
        <x:f>IF(ABS(F100)&lt;=G100,"OK","ERROR")</x:f>
        <x:v>OK</x:v>
      </x:c>
      <x:c r="I100" s="4"/>
      <x:c r="J100" s="4"/>
      <x:c r="K100" s="4"/>
      <x:c r="L100" s="4"/>
      <x:c r="M100" s="4"/>
    </x:row>
    <x:row r="101">
      <x:c r="C101" t="str">
        <x:v>Target earnings included once</x:v>
      </x:c>
      <x:c r="D101" s="611" t="n">
        <x:f>MAX(ABS('Pro Forma Income Statement'!D34-SUM('Pro Forma Income Statement'!D26:D32)),ABS('Pro Forma Income Statement'!E34-SUM('Pro Forma Income Statement'!E26:E32)),ABS('Pro Forma Income Statement'!F34-SUM('Pro Forma Income Statement'!F26:F32)))</x:f>
        <x:v>3.694822225952521e-13</x:v>
      </x:c>
      <x:c r="E101" s="611" t="n">
        <x:v>0</x:v>
      </x:c>
      <x:c r="F101" s="611" t="n">
        <x:f>D101-E101</x:f>
        <x:v>3.694822225952521e-13</x:v>
      </x:c>
      <x:c r="G101" s="611" t="n">
        <x:v>0.1</x:v>
      </x:c>
      <x:c r="H101" s="490" t="str">
        <x:f>IF(ABS(F101)&lt;=G101,"OK","ERROR")</x:f>
        <x:v>OK</x:v>
      </x:c>
    </x:row>
    <x:row r="102">
      <x:c r="C102" t="str">
        <x:v>Partial-year effects applied consistently</x:v>
      </x:c>
      <x:c r="D102" s="611" t="n">
        <x:f>MAX(ABS('Pro Forma Income Statement'!D10-'Standalone Forecasts'!G28*'Pro Forma Income Statement'!D20),ABS('Pro Forma Income Statement'!D13-'Standalone Forecasts'!G33*'Pro Forma Income Statement'!D20),ABS('Pro Forma Income Statement'!D26-'Standalone Forecasts'!G35*'Pro Forma Income Statement'!D20),ABS('Pro Forma Income Statement'!D29+'Financing'!E17*'Pro Forma Income Statement'!D20),ABS('Pro Forma Income Statement'!D31+'Purchase Accounting'!F42*'Pro Forma Income Statement'!D20),ABS('Pro Forma Income Statement'!D36-'Sources &amp; Uses'!D40*'Pro Forma Income Statement'!D20))</x:f>
        <x:v>0</x:v>
      </x:c>
      <x:c r="E102" s="611" t="n">
        <x:v>0</x:v>
      </x:c>
      <x:c r="F102" s="611" t="n">
        <x:f>D102-E102</x:f>
        <x:v>0</x:v>
      </x:c>
      <x:c r="G102" s="611" t="n">
        <x:v>0.1</x:v>
      </x:c>
      <x:c r="H102" s="490" t="str">
        <x:f>IF(ABS(F102)&lt;=G102,"OK","ERROR")</x:f>
        <x:v>OK</x:v>
      </x:c>
    </x:row>
    <x:row r="103">
      <x:c r="C103" t="str">
        <x:v>Accretion / dilution reconciles with displayed EPS</x:v>
      </x:c>
      <x:c r="D103" s="611" t="n">
        <x:f>MAX(ABS('Accretion-Dilution'!D17-('Accretion-Dilution'!D15/'Accretion-Dilution'!D14-1)),ABS('Accretion-Dilution'!E17-('Accretion-Dilution'!E15/'Accretion-Dilution'!E14-1)),ABS('Accretion-Dilution'!F17-('Accretion-Dilution'!F15/'Accretion-Dilution'!F14-1)))</x:f>
        <x:v>0</x:v>
      </x:c>
      <x:c r="E103" s="611" t="n">
        <x:v>0</x:v>
      </x:c>
      <x:c r="F103" s="611" t="n">
        <x:f>D103-E103</x:f>
        <x:v>0</x:v>
      </x:c>
      <x:c r="G103" s="611" t="n">
        <x:v>0.0001</x:v>
      </x:c>
      <x:c r="H103" s="490" t="str">
        <x:f>IF(ABS(F103)&lt;=G103,"OK","ERROR")</x:f>
        <x:v>OK</x:v>
      </x:c>
    </x:row>
    <x:row r="104">
      <x:c r="C104" t="str">
        <x:v>Calculated outputs reconcile</x:v>
      </x:c>
      <x:c r="D104" s="611" t="n">
        <x:f>MAX(ABS('Sources &amp; Uses'!D12-SUM('Sources &amp; Uses'!D8:D11)),ABS('Sources &amp; Uses'!D21-SUM('Sources &amp; Uses'!D17:D20)),ABS('Purchase Accounting'!D27-('Purchase Accounting'!D9-'Purchase Accounting'!D26)),ABS('Purchase Accounting'!D28-SUM('Purchase Accounting'!D26:D27)),ABS('Purchase Accounting'!D29-('Purchase Accounting'!D28-'Purchase Accounting'!D9)),ABS('Financing'!G13-SUM('Financing'!G9:G12)),ABS('Financing'!G15-'Financing'!G61),ABS('Pro Forma Income Statement'!F17-SUM('Pro Forma Income Statement'!F12:F16)),ABS('Pro Forma Income Statement'!F33-SUM('Pro Forma Income Statement'!F25:F32)),ABS('Pro Forma Income Statement'!F37-SUM('Pro Forma Income Statement'!F35:F36)),ABS('Pro Forma Income Statement'!F39-'Pro Forma Income Statement'!F33/'Pro Forma Income Statement'!F37),ABS('Pro Forma Income Statement'!F41-('Pro Forma Income Statement'!F39/'Pro Forma Income Statement'!F38-1)),ABS('Accretion-Dilution'!F15-'Pro Forma Income Statement'!F39),ABS('Accretion-Dilution'!F17-'Pro Forma Income Statement'!F41),ABS('Accretion-Dilution'!F31-'Pro Forma Income Statement'!F34))</x:f>
        <x:v>0</x:v>
      </x:c>
      <x:c r="E104" s="611" t="n">
        <x:v>0</x:v>
      </x:c>
      <x:c r="F104" s="611" t="n">
        <x:f>D104-E104</x:f>
        <x:v>0</x:v>
      </x:c>
      <x:c r="G104" s="611" t="n">
        <x:v>0.0001</x:v>
      </x:c>
      <x:c r="H104" s="490" t="str">
        <x:f>IF(ABS(F104)&lt;=G104,"OK","ERROR")</x:f>
        <x:v>OK</x:v>
      </x:c>
    </x:row>
    <x:row r="106" ht="24" customHeight="1">
      <x:c r="C106" s="545" t="str">
        <x:v>Live reconciliation scope</x:v>
      </x:c>
      <x:c r="D106" s="547" t="str">
        <x:v>15 calculated outputs across sources &amp; uses, financing, purchase accounting, pro forma earnings and accretion / dilution; updates whenever model values change</x:v>
      </x:c>
      <x:c r="E106" s="547"/>
      <x:c r="F106" s="547"/>
      <x:c r="G106" s="547"/>
      <x:c r="H106" s="547"/>
    </x:row>
  </x:sheetData>
  <x:mergeCells>
    <x:mergeCell ref="D106:H106"/>
  </x:mergeCells>
  <x:conditionalFormatting sqref="H94:H104">
    <x:cfRule type="containsText" dxfId="0" priority="1" operator="containsText" text="ERROR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1" hidden="0" customWidth="1"/>
    <x:col min="4" max="4" width="15" hidden="0" customWidth="1"/>
    <x:col min="5" max="5" width="22" hidden="0" customWidth="1"/>
    <x:col min="6" max="6" width="20" hidden="0" customWidth="1"/>
    <x:col min="7" max="7" width="58" hidden="0" customWidth="1"/>
    <x:col min="8" max="8" width="28" hidden="0" customWidth="1"/>
    <x:col min="9" max="9" width="2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79"/>
    </x:row>
    <x:row r="2" ht="21" customHeight="1">
      <x:c r="A2" s="79"/>
      <x:c r="C2" s="2" t="str">
        <x:v>Sources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79"/>
      <x:c r="C3" s="3" t="str">
        <x:v>Public filings, market data and explicit modeling judgments</x:v>
      </x:c>
    </x:row>
    <x:row r="4">
      <x:c r="A4" s="79"/>
    </x:row>
    <x:row r="5">
      <x:c r="A5" s="79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79"/>
      <x:c r="C6" s="17" t="str">
        <x:v>Source ID</x:v>
      </x:c>
      <x:c r="D6" s="17" t="str">
        <x:v>Company</x:v>
      </x:c>
      <x:c r="E6" s="17" t="str">
        <x:v>Document or item</x:v>
      </x:c>
      <x:c r="F6" s="17" t="str">
        <x:v>Period / date</x:v>
      </x:c>
      <x:c r="G6" s="17" t="str">
        <x:v>URL</x:v>
      </x:c>
      <x:c r="H6" s="17" t="str">
        <x:v>Use</x:v>
      </x:c>
      <x:c r="I6" s="17" t="str">
        <x:v>Notes</x:v>
      </x:c>
      <x:c r="J6" s="4"/>
      <x:c r="K6" s="4"/>
      <x:c r="L6" s="4"/>
      <x:c r="M6" s="4"/>
    </x:row>
    <x:row r="7">
      <x:c r="A7" s="79"/>
      <x:c r="C7" s="19" t="str">
        <x:v>S01</x:v>
      </x:c>
      <x:c r="D7" s="19" t="str">
        <x:v>GXO</x:v>
      </x:c>
      <x:c r="E7" s="19" t="str">
        <x:v>2025 Form 10-K</x:v>
      </x:c>
      <x:c r="F7" s="19" t="str">
        <x:v>FY ended 31 Dec 2025</x:v>
      </x:c>
      <x:c r="G7" s="78" t="str">
        <x:v>https://www.sec.gov/Archives/edgar/data/1852244/000185224426000007/gxo-20251231.htm</x:v>
      </x:c>
      <x:c r="H7" s="19" t="str">
        <x:v>Financial statements, debt and equity awards</x:v>
      </x:c>
      <x:c r="I7" s="19" t="str">
        <x:v>Primary filing</x:v>
      </x:c>
      <x:c r="J7" s="4"/>
      <x:c r="K7" s="4"/>
      <x:c r="L7" s="4"/>
      <x:c r="M7" s="4"/>
    </x:row>
    <x:row r="8">
      <x:c r="A8" s="79"/>
      <x:c r="C8" s="19" t="str">
        <x:v>S02</x:v>
      </x:c>
      <x:c r="D8" s="19" t="str">
        <x:v>UPS</x:v>
      </x:c>
      <x:c r="E8" s="19" t="str">
        <x:v>2025 Form 10-K</x:v>
      </x:c>
      <x:c r="F8" s="19" t="str">
        <x:v>FY ended 31 Dec 2025</x:v>
      </x:c>
      <x:c r="G8" s="78" t="str">
        <x:v>https://www.sec.gov/Archives/edgar/data/1090727/000162828026008432/ups-20251231.htm</x:v>
      </x:c>
      <x:c r="H8" s="19" t="str">
        <x:v>Financial statements and debt terms</x:v>
      </x:c>
      <x:c r="I8" s="19" t="str">
        <x:v>Primary filing</x:v>
      </x:c>
      <x:c r="J8" s="4"/>
      <x:c r="K8" s="4"/>
      <x:c r="L8" s="4"/>
      <x:c r="M8" s="4"/>
    </x:row>
    <x:row r="9">
      <x:c r="A9" s="79"/>
      <x:c r="C9" s="19" t="str">
        <x:v>S03</x:v>
      </x:c>
      <x:c r="D9" s="19" t="str">
        <x:v>GXO</x:v>
      </x:c>
      <x:c r="E9" s="19" t="str">
        <x:v>Historical closing price</x:v>
      </x:c>
      <x:c r="F9" s="19" t="str">
        <x:v>31 Dec 2025</x:v>
      </x:c>
      <x:c r="G9" s="78" t="str">
        <x:v>https://www.financecharts.com/stocks/GXO/summary/price</x:v>
      </x:c>
      <x:c r="H9" s="19" t="str">
        <x:v>Unaffected share price</x:v>
      </x:c>
      <x:c r="I9" s="19" t="str">
        <x:v>Use unadjusted close of $53.05</x:v>
      </x:c>
      <x:c r="J9" s="4"/>
      <x:c r="K9" s="4"/>
      <x:c r="L9" s="4"/>
      <x:c r="M9" s="4"/>
    </x:row>
    <x:row r="10">
      <x:c r="A10" s="79"/>
      <x:c r="C10" s="19" t="str">
        <x:v>S04</x:v>
      </x:c>
      <x:c r="D10" s="19" t="str">
        <x:v>GXO</x:v>
      </x:c>
      <x:c r="E10" s="19" t="str">
        <x:v>Historical market capitalization</x:v>
      </x:c>
      <x:c r="F10" s="19" t="str">
        <x:v>31 Dec 2025</x:v>
      </x:c>
      <x:c r="G10" s="78" t="str">
        <x:v>https://www.financecharts.com/stocks/GXO/summary/market-cap</x:v>
      </x:c>
      <x:c r="H10" s="19" t="str">
        <x:v>Basic shares outstanding cross-check</x:v>
      </x:c>
      <x:c r="I10" s="19" t="str">
        <x:v>114.512m shares</x:v>
      </x:c>
      <x:c r="J10" s="4"/>
      <x:c r="K10" s="4"/>
      <x:c r="L10" s="4"/>
      <x:c r="M10" s="4"/>
    </x:row>
    <x:row r="11">
      <x:c r="A11" s="79"/>
      <x:c r="C11" s="19" t="str">
        <x:v>S05</x:v>
      </x:c>
      <x:c r="D11" s="19" t="str">
        <x:v>UPS</x:v>
      </x:c>
      <x:c r="E11" s="19" t="str">
        <x:v>Historical closing price</x:v>
      </x:c>
      <x:c r="F11" s="19" t="str">
        <x:v>31 Dec 2025</x:v>
      </x:c>
      <x:c r="G11" s="78" t="str">
        <x:v>https://www.financecharts.com/stocks/UPS/summary/price</x:v>
      </x:c>
      <x:c r="H11" s="19" t="str">
        <x:v>Reference buyer share price</x:v>
      </x:c>
      <x:c r="I11" s="19" t="str">
        <x:v>Use unadjusted close of $99.56</x:v>
      </x:c>
      <x:c r="J11" s="4"/>
      <x:c r="K11" s="4"/>
      <x:c r="L11" s="4"/>
      <x:c r="M11" s="4"/>
    </x:row>
    <x:row r="12">
      <x:c r="A12" s="79"/>
      <x:c r="C12" s="488" t="str">
        <x:v>A01-A39</x:v>
      </x:c>
      <x:c r="D12" s="488" t="str">
        <x:v>Model</x:v>
      </x:c>
      <x:c r="E12" s="488" t="str">
        <x:v>Transaction, financing and purchase-accounting assumptions</x:v>
      </x:c>
      <x:c r="F12" s="488" t="str">
        <x:v>Model build</x:v>
      </x:c>
      <x:c r="G12" s="488"/>
      <x:c r="H12" s="488" t="str">
        <x:v>Premium, fees, debt structure, synergies and purchase accounting</x:v>
      </x:c>
      <x:c r="I12" s="488" t="str">
        <x:v>Independent modelling judgments; not company guidance</x:v>
      </x:c>
      <x:c r="J12" s="4"/>
      <x:c r="K12" s="4"/>
      <x:c r="L12" s="4"/>
      <x:c r="M12" s="4"/>
    </x:row>
    <x:row r="13">
      <x:c r="A13" s="79"/>
      <x:c r="C13" s="133" t="str">
        <x:v>S06</x:v>
      </x:c>
      <x:c r="D13" s="133" t="str">
        <x:v>UPS</x:v>
      </x:c>
      <x:c r="E13" s="133" t="str">
        <x:v>2024 Form 10-K</x:v>
      </x:c>
      <x:c r="F13" s="133" t="str">
        <x:v>FY ended 31 Dec 2024</x:v>
      </x:c>
      <x:c r="G13" s="78" t="str">
        <x:v>https://www.sec.gov/Archives/edgar/data/1090727/000109072725000019/ups-20241231.htm</x:v>
      </x:c>
      <x:c r="H13" s="133" t="str">
        <x:v>2023 balance sheet and normalization comparatives</x:v>
      </x:c>
      <x:c r="I13" s="133" t="str">
        <x:v>Primary filing</x:v>
      </x:c>
      <x:c r="J13" s="4"/>
      <x:c r="K13" s="4"/>
      <x:c r="L13" s="4"/>
      <x:c r="M13" s="4"/>
    </x:row>
    <x:row r="14">
      <x:c r="A14" s="79"/>
      <x:c r="C14" s="133" t="str">
        <x:v>S07</x:v>
      </x:c>
      <x:c r="D14" s="133" t="str">
        <x:v>GXO</x:v>
      </x:c>
      <x:c r="E14" s="133" t="str">
        <x:v>2024 Form 10-K</x:v>
      </x:c>
      <x:c r="F14" s="133" t="str">
        <x:v>FY ended 31 Dec 2024</x:v>
      </x:c>
      <x:c r="G14" s="78" t="str">
        <x:v>https://www.sec.gov/Archives/edgar/data/1852244/000185224425000007/gxo-20241231.htm</x:v>
      </x:c>
      <x:c r="H14" s="133" t="str">
        <x:v>2023 balance sheet comparatives</x:v>
      </x:c>
      <x:c r="I14" s="133" t="str">
        <x:v>Primary filing</x:v>
      </x:c>
      <x:c r="J14" s="4"/>
      <x:c r="K14" s="4"/>
      <x:c r="L14" s="4"/>
      <x:c r="M14" s="4"/>
    </x:row>
    <x:row r="15">
      <x:c r="A15" s="79"/>
      <x:c r="C15" s="133" t="str">
        <x:v>S08</x:v>
      </x:c>
      <x:c r="D15" s="133" t="str">
        <x:v>UPS</x:v>
      </x:c>
      <x:c r="E15" s="133" t="str">
        <x:v>FY2025 results and FY2026 outlook</x:v>
      </x:c>
      <x:c r="F15" s="133" t="str">
        <x:v>27 Jan 2026</x:v>
      </x:c>
      <x:c r="G15" s="78" t="str">
        <x:v>https://investors.ups.com/news-events/press-releases/detail/2154/ups-releases-4q-2025-earnings-and-provides-2026-guidance</x:v>
      </x:c>
      <x:c r="H15" s="133" t="str">
        <x:v>FY2026 revenue and adjusted operating margin anchors</x:v>
      </x:c>
      <x:c r="I15" s="133" t="str">
        <x:v>Management outlook</x:v>
      </x:c>
      <x:c r="J15" s="4"/>
      <x:c r="K15" s="4"/>
      <x:c r="L15" s="4"/>
      <x:c r="M15" s="4"/>
    </x:row>
    <x:row r="16">
      <x:c r="A16" s="79"/>
      <x:c r="C16" s="133" t="str">
        <x:v>S09</x:v>
      </x:c>
      <x:c r="D16" s="133" t="str">
        <x:v>GXO</x:v>
      </x:c>
      <x:c r="E16" s="133" t="str">
        <x:v>FY2025 results and FY2026 guidance</x:v>
      </x:c>
      <x:c r="F16" s="133" t="str">
        <x:v>10 Feb 2026</x:v>
      </x:c>
      <x:c r="G16" s="78" t="str">
        <x:v>https://investors.gxo.com/news-releases/news-release-details/gxo-reports-fourth-quarter-and-full-year-2025-results</x:v>
      </x:c>
      <x:c r="H16" s="133" t="str">
        <x:v>FY2026 revenue growth, adjusted EBITDA and EPS anchors</x:v>
      </x:c>
      <x:c r="I16" s="133" t="str">
        <x:v>Management guidance</x:v>
      </x:c>
      <x:c r="J16" s="4"/>
      <x:c r="K16" s="4"/>
      <x:c r="L16" s="4"/>
      <x:c r="M16" s="4"/>
    </x:row>
    <x:row r="17">
      <x:c r="A17" s="79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</x:row>
    <x:row r="18">
      <x:c r="A18" s="79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</x:row>
    <x:row r="19">
      <x:c r="A19" s="79"/>
      <x:c r="C19" s="499" t="str">
        <x:v>Model conventions</x:v>
      </x:c>
      <x:c r="D19" s="500"/>
      <x:c r="E19" s="500"/>
      <x:c r="F19" s="500"/>
      <x:c r="G19" s="500"/>
      <x:c r="H19" s="500"/>
      <x:c r="I19" s="501"/>
      <x:c r="J19" s="4"/>
      <x:c r="K19" s="4"/>
      <x:c r="L19" s="4"/>
      <x:c r="M19" s="4"/>
    </x:row>
    <x:row r="20">
      <x:c r="A20" s="79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</x:row>
    <x:row r="21">
      <x:c r="A21" s="79"/>
      <x:c r="C21" s="298" t="str">
        <x:v>Transaction status</x:v>
      </x:c>
      <x:c r="D21" s="132" t="str">
        <x:v>Hypothetical</x:v>
      </x:c>
      <x:c r="E21" s="4"/>
      <x:c r="F21" s="4"/>
      <x:c r="G21" s="4"/>
      <x:c r="H21" s="4"/>
      <x:c r="I21" s="4"/>
      <x:c r="J21" s="4"/>
      <x:c r="K21" s="4"/>
      <x:c r="L21" s="4"/>
      <x:c r="M21" s="4"/>
    </x:row>
    <x:row r="22">
      <x:c r="A22" s="79"/>
      <x:c r="C22" s="298" t="str">
        <x:v>Forecast horizon</x:v>
      </x:c>
      <x:c r="D22" s="132" t="str">
        <x:v>FY2026–FY2028</x:v>
      </x:c>
      <x:c r="E22" s="4"/>
      <x:c r="F22" s="4"/>
      <x:c r="G22" s="4"/>
      <x:c r="H22" s="4"/>
      <x:c r="I22" s="4"/>
      <x:c r="J22" s="4"/>
      <x:c r="K22" s="4"/>
      <x:c r="L22" s="4"/>
      <x:c r="M22" s="4"/>
    </x:row>
    <x:row r="23">
      <x:c r="A23" s="79"/>
      <x:c r="C23" s="298" t="str">
        <x:v>Currency and scale</x:v>
      </x:c>
      <x:c r="D23" s="132" t="str">
        <x:v>USD millions except per-share data</x:v>
      </x:c>
      <x:c r="E23" s="4"/>
      <x:c r="F23" s="4"/>
      <x:c r="G23" s="4"/>
      <x:c r="H23" s="4"/>
      <x:c r="I23" s="4"/>
      <x:c r="J23" s="4"/>
      <x:c r="K23" s="4"/>
      <x:c r="L23" s="4"/>
      <x:c r="M23" s="4"/>
    </x:row>
    <x:row r="24" ht="28" customHeight="1">
      <x:c r="A24" s="79"/>
      <x:c r="C24" s="298" t="str">
        <x:v>Ownership convention</x:v>
      </x:c>
      <x:c r="D24" s="133" t="str">
        <x:v>Partial-year ownership in FY2026 based on the selected closing date; full-year ownership from FY2027 onward</x:v>
      </x:c>
      <x:c r="E24" s="133"/>
      <x:c r="F24" s="133"/>
      <x:c r="G24" s="133"/>
      <x:c r="H24" s="133"/>
      <x:c r="I24" s="133"/>
      <x:c r="J24" s="4"/>
      <x:c r="K24" s="4"/>
      <x:c r="L24" s="4"/>
      <x:c r="M24" s="4"/>
    </x:row>
    <x:row r="25">
      <x:c r="A25" s="79"/>
      <x:c r="C25" s="298" t="str">
        <x:v>Purchase accounting</x:v>
      </x:c>
      <x:c r="D25" s="132" t="str">
        <x:v>Illustrative allocation without a transaction-specific valuation report</x:v>
      </x:c>
      <x:c r="E25" s="4"/>
      <x:c r="F25" s="4"/>
      <x:c r="G25" s="4"/>
      <x:c r="H25" s="4"/>
      <x:c r="I25" s="4"/>
      <x:c r="J25" s="4"/>
      <x:c r="K25" s="4"/>
      <x:c r="L25" s="4"/>
      <x:c r="M25" s="4"/>
    </x:row>
    <x:row r="26">
      <x:c r="A26" s="79"/>
      <x:c r="C26" s="298" t="str">
        <x:v>Sensitivity output</x:v>
      </x:c>
      <x:c r="D26" s="132" t="str">
        <x:v>FY2028 EPS accretion / (dilution)</x:v>
      </x:c>
      <x:c r="E26" s="4"/>
      <x:c r="F26" s="4"/>
      <x:c r="G26" s="4"/>
      <x:c r="H26" s="4"/>
      <x:c r="I26" s="4"/>
      <x:c r="J26" s="4"/>
      <x:c r="K26" s="4"/>
      <x:c r="L26" s="4"/>
      <x:c r="M26" s="4"/>
    </x:row>
    <x:row r="27">
      <x:c r="A27" s="79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</x:row>
    <x:row r="28">
      <x:c r="A28" s="79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</x:row>
    <x:row r="29">
      <x:c r="A29" s="79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</x:row>
    <x:row r="30">
      <x:c r="A30" s="79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</x:row>
    <x:row r="31">
      <x:c r="A31" s="79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</x:row>
    <x:row r="32">
      <x:c r="A32" s="79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</x:row>
    <x:row r="33">
      <x:c r="A33" s="79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</x:row>
    <x:row r="34">
      <x:c r="A34" s="79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</x:row>
    <x:row r="35">
      <x:c r="A35" s="79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</x:row>
    <x:row r="36">
      <x:c r="A36" s="79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</x:row>
    <x:row r="37">
      <x:c r="A37" s="79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</x:row>
    <x:row r="38">
      <x:c r="A38" s="79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</x:row>
    <x:row r="39">
      <x:c r="A39" s="79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</x:row>
    <x:row r="40">
      <x:c r="A40" s="79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</x:row>
    <x:row r="41">
      <x:c r="A41" s="79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</x:row>
    <x:row r="42">
      <x:c r="A42" s="79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</x:row>
    <x:row r="43">
      <x:c r="A43" s="79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</x:row>
    <x:row r="44">
      <x:c r="A44" s="79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</x:row>
    <x:row r="45">
      <x:c r="A45" s="79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</x:row>
    <x:row r="46">
      <x:c r="A46" s="79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</x:row>
    <x:row r="47">
      <x:c r="A47" s="79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</x:row>
    <x:row r="48">
      <x:c r="A48" s="79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</x:row>
    <x:row r="49">
      <x:c r="A49" s="79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</x:row>
    <x:row r="50">
      <x:c r="A50" s="79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</x:row>
    <x:row r="51">
      <x:c r="A51" s="79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</x:row>
    <x:row r="52">
      <x:c r="A52" s="79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</x:row>
    <x:row r="53">
      <x:c r="A53" s="79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</x:row>
    <x:row r="54">
      <x:c r="A54" s="79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</x:row>
    <x:row r="55">
      <x:c r="A55" s="79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</x:row>
    <x:row r="56">
      <x:c r="A56" s="79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</x:row>
    <x:row r="57">
      <x:c r="A57" s="79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</x:row>
    <x:row r="58">
      <x:c r="A58" s="79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</x:row>
    <x:row r="59">
      <x:c r="A59" s="79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</x:row>
    <x:row r="60">
      <x:c r="A60" s="79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</x:row>
    <x:row r="61">
      <x:c r="A61" s="79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</x:row>
    <x:row r="62">
      <x:c r="A62" s="79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</x:row>
    <x:row r="63">
      <x:c r="A63" s="79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</x:row>
    <x:row r="64">
      <x:c r="A64" s="79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</x:row>
    <x:row r="65">
      <x:c r="A65" s="79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</x:row>
    <x:row r="66">
      <x:c r="A66" s="79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</x:row>
    <x:row r="67">
      <x:c r="A67" s="79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</x:row>
    <x:row r="68">
      <x:c r="A68" s="79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</x:row>
    <x:row r="69">
      <x:c r="A69" s="79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</x:row>
    <x:row r="70">
      <x:c r="A70" s="79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</x:row>
    <x:row r="71">
      <x:c r="A71" s="79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</x:row>
    <x:row r="72">
      <x:c r="A72" s="79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</x:row>
    <x:row r="73">
      <x:c r="A73" s="79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</x:row>
    <x:row r="74">
      <x:c r="A74" s="79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</x:row>
    <x:row r="75">
      <x:c r="A75" s="79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</x:row>
    <x:row r="76">
      <x:c r="A76" s="79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</x:row>
    <x:row r="77">
      <x:c r="A77" s="79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</x:row>
    <x:row r="78">
      <x:c r="A78" s="79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</x:row>
    <x:row r="79">
      <x:c r="A79" s="79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</x:row>
    <x:row r="80">
      <x:c r="A80" s="79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</x:row>
    <x:row r="81">
      <x:c r="A81" s="79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</x:row>
    <x:row r="82">
      <x:c r="A82" s="79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</x:row>
    <x:row r="83">
      <x:c r="A83" s="79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>
      <x:c r="A84" s="79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</x:row>
    <x:row r="85">
      <x:c r="A85" s="79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</x:row>
    <x:row r="86">
      <x:c r="A86" s="79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</x:row>
    <x:row r="87">
      <x:c r="A87" s="79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</x:row>
    <x:row r="88">
      <x:c r="A88" s="79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</x:row>
    <x:row r="89">
      <x:c r="A89" s="79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</x:row>
    <x:row r="90">
      <x:c r="A90" s="79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</x:row>
    <x:row r="91">
      <x:c r="A91" s="79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>
      <x:c r="A92" s="79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>
      <x:c r="A93" s="79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79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>
      <x:c r="A95" s="79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>
      <x:c r="A96" s="79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79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79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79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79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</x:sheetData>
  <x:mergeCells>
    <x:mergeCell ref="D24:I24"/>
  </x:mergeCells>
  <x:pageMargins left="0.7" right="0.7" top="0.75" bottom="0.75" header="0.3" footer="0.3"/>
</x:worksheet>
</file>